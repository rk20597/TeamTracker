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TeamTracker\Data\"/>
    </mc:Choice>
  </mc:AlternateContent>
  <xr:revisionPtr revIDLastSave="0" documentId="13_ncr:1_{89525185-79F9-44E6-98D2-FEEC2A1413BC}" xr6:coauthVersionLast="47" xr6:coauthVersionMax="47" xr10:uidLastSave="{00000000-0000-0000-0000-000000000000}"/>
  <bookViews>
    <workbookView xWindow="-110" yWindow="-110" windowWidth="19420" windowHeight="11500" firstSheet="3" activeTab="6" xr2:uid="{30C4A489-88FD-4F42-90A7-1AA7E270F543}"/>
  </bookViews>
  <sheets>
    <sheet name="TeamMember" sheetId="2" r:id="rId1"/>
    <sheet name="Users" sheetId="3" r:id="rId2"/>
    <sheet name="OnboardingSteps" sheetId="5" r:id="rId3"/>
    <sheet name="OnboardingProgress" sheetId="6" r:id="rId4"/>
    <sheet name="Offboarding" sheetId="7" r:id="rId5"/>
    <sheet name="Training Status" sheetId="16" r:id="rId6"/>
    <sheet name="Projects" sheetId="8" r:id="rId7"/>
    <sheet name="PRSD" sheetId="9" r:id="rId8"/>
    <sheet name="Training Count" sheetId="10" r:id="rId9"/>
    <sheet name="Full Team Demography" sheetId="11" r:id="rId10"/>
    <sheet name="FTEs Data" sheetId="12" r:id="rId11"/>
    <sheet name="Active-Inactive TMs" sheetId="13" r:id="rId12"/>
    <sheet name="Madatory Trainings" sheetId="14" r:id="rId13"/>
    <sheet name="ComplianceTrainingLinks" sheetId="15" r:id="rId14"/>
    <sheet name="GDLead" sheetId="17" r:id="rId15"/>
    <sheet name="RESRE" sheetId="18" r:id="rId16"/>
    <sheet name="Copilot" sheetId="19" r:id="rId17"/>
    <sheet name="AKS" sheetId="20" r:id="rId18"/>
    <sheet name="ROVO" sheetId="21" r:id="rId19"/>
    <sheet name="DataDog" sheetId="25" r:id="rId20"/>
    <sheet name=".Net" sheetId="22" r:id="rId21"/>
    <sheet name="CRM" sheetId="26" r:id="rId22"/>
    <sheet name="iOS" sheetId="23" r:id="rId23"/>
    <sheet name="ETL" sheetId="24" r:id="rId24"/>
  </sheets>
  <externalReferences>
    <externalReference r:id="rId25"/>
  </externalReferences>
  <calcPr calcId="191029"/>
  <pivotCaches>
    <pivotCache cacheId="0" r:id="rId26"/>
    <pivotCache cacheId="1" r:id="rId27"/>
    <pivotCache cacheId="2" r:id="rId28"/>
    <pivotCache cacheId="3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6" i="12" l="1"/>
  <c r="C65" i="12"/>
  <c r="C64" i="12"/>
  <c r="B16" i="10"/>
  <c r="B14" i="10"/>
  <c r="B13" i="10"/>
  <c r="E4" i="10"/>
  <c r="D4" i="10"/>
  <c r="C4" i="10"/>
  <c r="E3" i="10"/>
  <c r="D3" i="10"/>
  <c r="C3" i="10"/>
  <c r="E2" i="10"/>
  <c r="D2" i="10"/>
  <c r="C2" i="10"/>
  <c r="A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tc={A76EB6EC-838A-4804-B11A-4B53BE1844C8}</author>
    <author>tc={A76EB6EC-838A-4806-B11A-4B53BE1844C8}</author>
    <author>tc={A76EB6EC-838A-4805-B11A-4B53BE1844C8}</author>
  </authors>
  <commentList>
    <comment ref="Y39" authorId="0" shapeId="0" xr:uid="{A76EB6EC-838A-4804-B11A-4B53BE1844C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 AI anthropic training</t>
      </text>
    </comment>
    <comment ref="Y40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 AI anthropic training</t>
      </text>
    </comment>
    <comment ref="Y41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 AI anthropic training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tc={E8742F7E-8B8E-40B8-88FA-1BF58FA61E56}</author>
    <author>tc={2B8B1264-9F08-40E1-9040-B79527887B45}</author>
    <author>tc={B23C388E-2E4B-496D-A7D5-EFA61D303073}</author>
    <author>tc={6A7DE910-52BF-4905-9039-3376F875BE51}</author>
  </authors>
  <commentList>
    <comment ref="K15" authorId="0" shapeId="0" xr:uid="{E8742F7E-8B8E-40B8-88FA-1BF58FA61E5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Connect with GD onshore team</t>
      </text>
    </comment>
    <comment ref="K16" authorId="1" shapeId="0" xr:uid="{2B8B1264-9F08-40E1-9040-B79527887B45}">
      <text>
        <t>[Threaded comment]
Your version of Excel allows you to read this threaded comment; however, any edits to it will get removed if the file is opened in a newer version of Excel. Learn more: https://go.microsoft.com/fwlink/?linkid=870924
Comment:
    8:30 AM to 9: 00 AM PST with onshore Deloitte conterparts Gerardo,Prathyusha .Mon,Tue,Thu,Fri</t>
      </text>
    </comment>
    <comment ref="K17" authorId="2" shapeId="0" xr:uid="{B23C388E-2E4B-496D-A7D5-EFA61D30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these calls were scheduled. It was cancelled due to time constraints. Currently, 1 separate call with onshore Deloitte team is scheduled Weekly (on Wednesday)but Sean from GD joins this call, along with Souwmya, Daniel</t>
      </text>
    </comment>
    <comment ref="K22" authorId="3" shapeId="0" xr:uid="{6A7DE910-52BF-4905-9039-3376F875BE51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 Sync calls are there with onshore GD teams</t>
      </text>
    </comment>
  </commentList>
</comments>
</file>

<file path=xl/sharedStrings.xml><?xml version="1.0" encoding="utf-8"?>
<sst xmlns="http://schemas.openxmlformats.org/spreadsheetml/2006/main" count="3568" uniqueCount="799">
  <si>
    <t>SrNo</t>
  </si>
  <si>
    <t>Name</t>
  </si>
  <si>
    <t>Email</t>
  </si>
  <si>
    <t>Location</t>
  </si>
  <si>
    <t>Active/Inactive</t>
  </si>
  <si>
    <t>Expansion</t>
  </si>
  <si>
    <t>City</t>
  </si>
  <si>
    <t>Level - Original</t>
  </si>
  <si>
    <t>Level</t>
  </si>
  <si>
    <t>Client Level</t>
  </si>
  <si>
    <t>Onboarding Date</t>
  </si>
  <si>
    <t>Joined</t>
  </si>
  <si>
    <t>Job Family</t>
  </si>
  <si>
    <t>GD Leader 1</t>
  </si>
  <si>
    <t>GD Leader 2</t>
  </si>
  <si>
    <t>GD Leader 3</t>
  </si>
  <si>
    <t>Project</t>
  </si>
  <si>
    <t>Client KTDelivery</t>
  </si>
  <si>
    <t>Project delivery started</t>
  </si>
  <si>
    <t>Tool Access Completed</t>
  </si>
  <si>
    <t>Datadog (Y/N)</t>
  </si>
  <si>
    <t>AKS Trained (Y/N)</t>
  </si>
  <si>
    <t>ROVO(Y/N)</t>
  </si>
  <si>
    <t>Claude Code Dev Day Tasks</t>
  </si>
  <si>
    <t>AI Fluency: Framework &amp; Foundations</t>
  </si>
  <si>
    <t>Claude 101</t>
  </si>
  <si>
    <t>Any other AI Certificaion</t>
  </si>
  <si>
    <t>Co-Pilot Trained (Y/N)</t>
  </si>
  <si>
    <t>Client Compliance Trainings</t>
  </si>
  <si>
    <t>SciForma Access</t>
  </si>
  <si>
    <t>Comments</t>
  </si>
  <si>
    <t>Offboarding Date</t>
  </si>
  <si>
    <t xml:space="preserve">Mobile Number </t>
  </si>
  <si>
    <t>Replacement</t>
  </si>
  <si>
    <t>Rita J</t>
  </si>
  <si>
    <t>ritaj9@deloitte.com</t>
  </si>
  <si>
    <t>India</t>
  </si>
  <si>
    <t>Inactive</t>
  </si>
  <si>
    <t>Chennai</t>
  </si>
  <si>
    <t>Sr Consultant</t>
  </si>
  <si>
    <t>.Net</t>
  </si>
  <si>
    <t>Ravi Vemula</t>
  </si>
  <si>
    <t>Mani R</t>
  </si>
  <si>
    <t>Richpal Singh</t>
  </si>
  <si>
    <t>Forseti (Arc Platform)</t>
  </si>
  <si>
    <t>Y</t>
  </si>
  <si>
    <t/>
  </si>
  <si>
    <t>Kanika</t>
  </si>
  <si>
    <t>Akshay kumar Birudugadda</t>
  </si>
  <si>
    <t>abirudugadda@deloitte.com</t>
  </si>
  <si>
    <t>Active</t>
  </si>
  <si>
    <t>Hyderabad</t>
  </si>
  <si>
    <t>Consultant</t>
  </si>
  <si>
    <t>Vasudevan T R</t>
  </si>
  <si>
    <t>vasutr@deloitte.com</t>
  </si>
  <si>
    <t>Phase 1</t>
  </si>
  <si>
    <t>Bengaluru</t>
  </si>
  <si>
    <t>Lead</t>
  </si>
  <si>
    <t>ETL</t>
  </si>
  <si>
    <t>Sudheer</t>
  </si>
  <si>
    <t>Sethuram Bommireddipalli</t>
  </si>
  <si>
    <t>Completed</t>
  </si>
  <si>
    <t>N/A</t>
  </si>
  <si>
    <t>NA</t>
  </si>
  <si>
    <t>Have Access</t>
  </si>
  <si>
    <t xml:space="preserve">Compliance training done </t>
  </si>
  <si>
    <t>Devaker Sahu</t>
  </si>
  <si>
    <t>devaksahu@deloitte.com</t>
  </si>
  <si>
    <t>Senior</t>
  </si>
  <si>
    <t>Onkar Pujari</t>
  </si>
  <si>
    <t>Pat MacMannis</t>
  </si>
  <si>
    <t>Firewire Modernization 2.0</t>
  </si>
  <si>
    <t>We are going through KT videos.
Delivery not started yet.</t>
  </si>
  <si>
    <t>Hariprasad M</t>
  </si>
  <si>
    <t>haripm@deloitte.com</t>
  </si>
  <si>
    <t>Android</t>
  </si>
  <si>
    <t>Amit Advani</t>
  </si>
  <si>
    <t>Marco Zamora</t>
  </si>
  <si>
    <t>BaaS Mobile App</t>
  </si>
  <si>
    <t>Client delivery started since November 2025. Self KT through stories assigned. GD Migration, Amscot, Regression, Tech Dept and PROD/PIE validation supports are provided periodically</t>
  </si>
  <si>
    <t>Vikash Patel</t>
  </si>
  <si>
    <t>vikaspatel@deloitte.com</t>
  </si>
  <si>
    <t>Kolkata</t>
  </si>
  <si>
    <t>In Progress</t>
  </si>
  <si>
    <t>Mayuri, Annepogula</t>
  </si>
  <si>
    <t>amayuri@deloitte.com</t>
  </si>
  <si>
    <t>SRE</t>
  </si>
  <si>
    <t>Chris Mills</t>
  </si>
  <si>
    <t>Vishali kannan</t>
  </si>
  <si>
    <t>Dev Ops</t>
  </si>
  <si>
    <t>Narayan Pratap</t>
  </si>
  <si>
    <t>napratap@deloitte.com</t>
  </si>
  <si>
    <t>Analyst</t>
  </si>
  <si>
    <t>Akshay Narendra Gajarlawar (quit Deloitte)</t>
  </si>
  <si>
    <t>agajarlawar@deloitte.com</t>
  </si>
  <si>
    <t>iOS</t>
  </si>
  <si>
    <t>Derek Findlay</t>
  </si>
  <si>
    <t>Client delivery started since November 2025. Self KT through stories assigned. GD Migration stories, Bugs as well as GD E2E Bugs are being worked upon.</t>
  </si>
  <si>
    <t>9096928352</t>
  </si>
  <si>
    <t>Pearl Fernandes</t>
  </si>
  <si>
    <t>pefernandes@deloitte.com</t>
  </si>
  <si>
    <t>Mumbai</t>
  </si>
  <si>
    <t>Rubika Chinnasamy</t>
  </si>
  <si>
    <t>rchinnasamy@deloitte.com</t>
  </si>
  <si>
    <t>Anandita Singh</t>
  </si>
  <si>
    <t>ananditsingh@deloitte.com</t>
  </si>
  <si>
    <t>Gurgaon</t>
  </si>
  <si>
    <t>Client delivery started since November 2025. Self KT through stories assigned. GD Migration stories, Walmart SRU assigned tasks, Bugs as well as GD E2E Bugs are being worked upon.</t>
  </si>
  <si>
    <t>Rama lakshmi, Akella(not part of team)</t>
  </si>
  <si>
    <t>aramalakshmi@deloitte.com</t>
  </si>
  <si>
    <t>CRM</t>
  </si>
  <si>
    <t>Kartheek Bayyapuneedi</t>
  </si>
  <si>
    <t>baykartheek@deloitte.com</t>
  </si>
  <si>
    <t>IT Infrastructure</t>
  </si>
  <si>
    <t>Peter yoo</t>
  </si>
  <si>
    <t>Dave Harden</t>
  </si>
  <si>
    <t>System Engineering</t>
  </si>
  <si>
    <t>Srinivasulu Mula</t>
  </si>
  <si>
    <t>srmula@deloitte.com</t>
  </si>
  <si>
    <t>DevOps</t>
  </si>
  <si>
    <t>Rohit Raghuwanshi</t>
  </si>
  <si>
    <t>rraghuwanshi@deloitte.com</t>
  </si>
  <si>
    <t>DSA - Sr Consultant</t>
  </si>
  <si>
    <t>Scrum Master</t>
  </si>
  <si>
    <t>Kirk Walters</t>
  </si>
  <si>
    <t>Kim Riley</t>
  </si>
  <si>
    <t>Firewire Risk</t>
  </si>
  <si>
    <t>N</t>
  </si>
  <si>
    <t>VDI creds received on 12 Dec</t>
  </si>
  <si>
    <t>Asmita Kalkundre</t>
  </si>
  <si>
    <t>akalkundre@deloitte.com</t>
  </si>
  <si>
    <t>Sean</t>
  </si>
  <si>
    <t>MM-GDN</t>
  </si>
  <si>
    <t>BOLLA SAI CHAITANYA</t>
  </si>
  <si>
    <t>bsaichaitanya@deloitte.com</t>
  </si>
  <si>
    <t>CTH</t>
  </si>
  <si>
    <t>VDI creds received on 20 Dec</t>
  </si>
  <si>
    <t>D.Ramlinga Mahesh</t>
  </si>
  <si>
    <t>dmahesh@deloitte.com</t>
  </si>
  <si>
    <t>Manoj Kumar Kollu</t>
  </si>
  <si>
    <t>kolmanojkumar@deloitte.com</t>
  </si>
  <si>
    <t>RE/SRE</t>
  </si>
  <si>
    <t>Waiting for Jump box and cyber arc tools access</t>
  </si>
  <si>
    <t>Sahu, Harsh</t>
  </si>
  <si>
    <t>harshsahu@deloitte.com</t>
  </si>
  <si>
    <t>Gurmeet Singh Kalra</t>
  </si>
  <si>
    <t>Noam Fein</t>
  </si>
  <si>
    <t>Swamy Rajesh, Manugula</t>
  </si>
  <si>
    <t>mswamyrajesh@deloitte.com</t>
  </si>
  <si>
    <t>DSA - Consultant</t>
  </si>
  <si>
    <t>In progress</t>
  </si>
  <si>
    <t>Client compliance Training Completed ,  Started working on Project Task</t>
  </si>
  <si>
    <t>Anand Maurya</t>
  </si>
  <si>
    <t>mauanandkumar@deloitte.com</t>
  </si>
  <si>
    <t>No Access</t>
  </si>
  <si>
    <t>Mullangi, Kalyani</t>
  </si>
  <si>
    <t>kmullangi@deloitte.com</t>
  </si>
  <si>
    <t>Manager</t>
  </si>
  <si>
    <t>Principal</t>
  </si>
  <si>
    <t>SBTPG-CRM</t>
  </si>
  <si>
    <t>Tushar Madiya</t>
  </si>
  <si>
    <t>tmadiya@deloitte.com</t>
  </si>
  <si>
    <t>Srikanth, Porandla</t>
  </si>
  <si>
    <t>posrikanth@deloitte.com</t>
  </si>
  <si>
    <t>Chetan Arora</t>
  </si>
  <si>
    <t>chetarora@deloitte.com</t>
  </si>
  <si>
    <t>DSA - External</t>
  </si>
  <si>
    <t xml:space="preserve">Gurmeet Singh Kalra </t>
  </si>
  <si>
    <t>Navdeep</t>
  </si>
  <si>
    <t>GBOS-Risk</t>
  </si>
  <si>
    <t>mk</t>
  </si>
  <si>
    <t>Deloitte email id not available</t>
  </si>
  <si>
    <t>Kodamala, Vamsi</t>
  </si>
  <si>
    <t>VKODAMALA@DELOITTE.COM</t>
  </si>
  <si>
    <t>Web Engineer</t>
  </si>
  <si>
    <t xml:space="preserve">Chad  &amp; Marco </t>
  </si>
  <si>
    <t>Retail and Direct</t>
  </si>
  <si>
    <t>Sandeep Kumar Srivastava</t>
  </si>
  <si>
    <t>srsandeepkumar@deloitte.com</t>
  </si>
  <si>
    <t>R, Sindhu</t>
  </si>
  <si>
    <t>sindhr@deloitte.com</t>
  </si>
  <si>
    <t>Compliance email came at 12/3/25 and deadline as 1/31/26. Status - Completed</t>
  </si>
  <si>
    <t>., Purushothama</t>
  </si>
  <si>
    <t>puru@deloitte.com</t>
  </si>
  <si>
    <t>Sangameshwar</t>
  </si>
  <si>
    <t>sangch@deloitte.com</t>
  </si>
  <si>
    <t>comaplaince trainings are comepleted.</t>
  </si>
  <si>
    <t>Rayudu Durga Venkata Prasad</t>
  </si>
  <si>
    <t>rdurgavenkataprasad@deloitte.com</t>
  </si>
  <si>
    <t>Got access to most of the tools, inside cluster level prod accesses is pending, eventually I will get it</t>
  </si>
  <si>
    <t>Rekha Chaubey</t>
  </si>
  <si>
    <t>rechaubey@deloitte.com</t>
  </si>
  <si>
    <t>Deonandan Pandit</t>
  </si>
  <si>
    <t>depandit@deloitte.com</t>
  </si>
  <si>
    <t>Noam Fem</t>
  </si>
  <si>
    <t>Shiv Ram Ameria Khatik</t>
  </si>
  <si>
    <t>sramameriakhatik@deloitte.com</t>
  </si>
  <si>
    <t>Pune</t>
  </si>
  <si>
    <t>.NET</t>
  </si>
  <si>
    <t>Dmitri</t>
  </si>
  <si>
    <t>Brian</t>
  </si>
  <si>
    <t>GSS to AKS (Platform)</t>
  </si>
  <si>
    <t xml:space="preserve">Below training is not accessible-
https://becurious.edcast.eu/pathways/datadog-datadog-is/cards/100772211
</t>
  </si>
  <si>
    <t xml:space="preserve">Pankaj kumar Tiwari </t>
  </si>
  <si>
    <t>pkumartiwari@deloitte.com</t>
  </si>
  <si>
    <t>Raja venugopalan</t>
  </si>
  <si>
    <t>SBTPG-Preston</t>
  </si>
  <si>
    <t>Yogeetha A Veena</t>
  </si>
  <si>
    <t>yveena@deloitte.com</t>
  </si>
  <si>
    <t>Sudhakar Giri</t>
  </si>
  <si>
    <t>sudhgiri@deloitte.com</t>
  </si>
  <si>
    <t>DBA</t>
  </si>
  <si>
    <t>Neeraj Agerwal</t>
  </si>
  <si>
    <t>Mohsin Khan</t>
  </si>
  <si>
    <t>Deliverables Started, going thorugh KT Documents. Roll Off</t>
  </si>
  <si>
    <t>Rajesh Bolla</t>
  </si>
  <si>
    <t>bolrajesh@deloitte.com</t>
  </si>
  <si>
    <t>GANESH MUNDE</t>
  </si>
  <si>
    <t>graosahebmunde@deloitte.com</t>
  </si>
  <si>
    <t>IVR</t>
  </si>
  <si>
    <t>Yogesh Bhandare</t>
  </si>
  <si>
    <t>CES-IVR Engineering  &amp; Twilio-IVR</t>
  </si>
  <si>
    <t>Delivering</t>
  </si>
  <si>
    <t>Rajendra Hande</t>
  </si>
  <si>
    <t>rajenlnu@deloitte.com</t>
  </si>
  <si>
    <t>Raja Venugopalan</t>
  </si>
  <si>
    <t>Giri Sainath</t>
  </si>
  <si>
    <t>saingiri@deloitte.com</t>
  </si>
  <si>
    <t>DBE</t>
  </si>
  <si>
    <t>Kevin Cross</t>
  </si>
  <si>
    <t>Delivery started</t>
  </si>
  <si>
    <t>Venkat Kiran</t>
  </si>
  <si>
    <t>vekiran@deloitte.com</t>
  </si>
  <si>
    <t>SDET</t>
  </si>
  <si>
    <t>Michael Newman</t>
  </si>
  <si>
    <t>Firewire BAU</t>
  </si>
  <si>
    <t xml:space="preserve">Narayana Reddy </t>
  </si>
  <si>
    <t>nbyreddy@deloitte.com</t>
  </si>
  <si>
    <t>Rajesh Parvatini</t>
  </si>
  <si>
    <t xml:space="preserve">Raised AG Tickets for Access  Tools, Tool Access completed,KT in progress </t>
  </si>
  <si>
    <t>Toma Taraphdar Gupta(Rolled off)</t>
  </si>
  <si>
    <t>ttaraphdar@deloitte.com</t>
  </si>
  <si>
    <t xml:space="preserve">VDI received. Raised AG tickets. KT session going on for FireWire Risk Project and will start project work post KT completion </t>
  </si>
  <si>
    <t>Yogendra Kumar Yadav(Rolled off)</t>
  </si>
  <si>
    <t>yogendyadav@deloitte.com</t>
  </si>
  <si>
    <t>Noida</t>
  </si>
  <si>
    <t>Not Started</t>
  </si>
  <si>
    <t>Cancelled</t>
  </si>
  <si>
    <t>Peddy Srikantam</t>
  </si>
  <si>
    <t>psrikantam@deloitte.com</t>
  </si>
  <si>
    <t>Nithin Kumar</t>
  </si>
  <si>
    <t>nkumar93@deloitte.com</t>
  </si>
  <si>
    <t xml:space="preserve">All good started with delivarables </t>
  </si>
  <si>
    <t>Sandeep Joshi</t>
  </si>
  <si>
    <t>sandejoshi@deloitte.com</t>
  </si>
  <si>
    <t>Prakash Jethwani</t>
  </si>
  <si>
    <t>Firewire CRM</t>
  </si>
  <si>
    <t>y</t>
  </si>
  <si>
    <t>Shilpa B</t>
  </si>
  <si>
    <t>shilpab6@deloitte.com</t>
  </si>
  <si>
    <t>Sudheer Maharana</t>
  </si>
  <si>
    <t>Mohan Ramineedi</t>
  </si>
  <si>
    <t>Compliance training completed</t>
  </si>
  <si>
    <t>Viswanathan, Vishal</t>
  </si>
  <si>
    <t>visviswanathan@deloitte.com</t>
  </si>
  <si>
    <t>Waseem Khan</t>
  </si>
  <si>
    <t>wiqbalkhan@deloitte.com</t>
  </si>
  <si>
    <t>JC Carrillo</t>
  </si>
  <si>
    <t>Tammy Cravit</t>
  </si>
  <si>
    <t>Legacy to GBOS</t>
  </si>
  <si>
    <t>VDI received, got required access now working in migration stories</t>
  </si>
  <si>
    <t>Jestin Devassy M(Not joined)</t>
  </si>
  <si>
    <t>jdevassym@deloitte.com</t>
  </si>
  <si>
    <t>Venkat Ramana Dakshinapu</t>
  </si>
  <si>
    <t>dvenkataramanaiah@deloitte.com</t>
  </si>
  <si>
    <t>Alex</t>
  </si>
  <si>
    <t>VDI Received and going through KT videos. Waiting for GD leader response.    Client compliance email not received</t>
  </si>
  <si>
    <t>Abinesh C</t>
  </si>
  <si>
    <t>abinec@deloitte.com</t>
  </si>
  <si>
    <t>VDI received</t>
  </si>
  <si>
    <t>Anirudh Singh Bharti</t>
  </si>
  <si>
    <t>anirubharti@deloitte.com</t>
  </si>
  <si>
    <t>Abhinav Anvikar</t>
  </si>
  <si>
    <t>aanvikar@deloitte.com</t>
  </si>
  <si>
    <t>In-Progress</t>
  </si>
  <si>
    <t>VDI Received, got required access. Awaiting task allocations.</t>
  </si>
  <si>
    <t>Meenakshi Kumari</t>
  </si>
  <si>
    <t>meenakumari@deloitte.com</t>
  </si>
  <si>
    <t>Soujanya</t>
  </si>
  <si>
    <t>soujlnu@deloitte.com</t>
  </si>
  <si>
    <t xml:space="preserve"> I am going through KT,</t>
  </si>
  <si>
    <t>9353686262</t>
  </si>
  <si>
    <t>S, Mohith</t>
  </si>
  <si>
    <t>MOHIS@DELOITTE.COM</t>
  </si>
  <si>
    <t>Started delivery</t>
  </si>
  <si>
    <t>M, Manasa</t>
  </si>
  <si>
    <t>MANASM@DELOITTE.COM</t>
  </si>
  <si>
    <t>GD CRM</t>
  </si>
  <si>
    <t xml:space="preserve">VDI setup completed.
</t>
  </si>
  <si>
    <t>Kumar, Vinay</t>
  </si>
  <si>
    <t>VIKUMAR36@DELOITTE.COM</t>
  </si>
  <si>
    <t>VDI setup completed.</t>
  </si>
  <si>
    <t>KISHOR GAUR Not joined</t>
  </si>
  <si>
    <t>kramgopalgaur@deloitte.com</t>
  </si>
  <si>
    <t xml:space="preserve">Shefali Walecha </t>
  </si>
  <si>
    <t xml:space="preserve">swalecha@deloitte.com </t>
  </si>
  <si>
    <t>John</t>
  </si>
  <si>
    <t>Money Makers</t>
  </si>
  <si>
    <t>Tarique Zaib</t>
  </si>
  <si>
    <t>tzaib@deloitte.com</t>
  </si>
  <si>
    <t>Vinod Kumar B</t>
  </si>
  <si>
    <t>vbuthala@deloitte.com</t>
  </si>
  <si>
    <t>Jira</t>
  </si>
  <si>
    <t>JIRA</t>
  </si>
  <si>
    <t>VDI  received</t>
  </si>
  <si>
    <t>Kammeta, Prathap</t>
  </si>
  <si>
    <t>pkammeta@deloitte.com</t>
  </si>
  <si>
    <t>React JS(Frontend development)</t>
  </si>
  <si>
    <t>Priyanka Anumula</t>
  </si>
  <si>
    <t>anupriyanka@deloitte.com</t>
  </si>
  <si>
    <t>Inprogress</t>
  </si>
  <si>
    <t>VDI Setup Done, Required tools setup completed (Ready API, JMeter)
Client compliance email not received</t>
  </si>
  <si>
    <t>Nitish Muttagi</t>
  </si>
  <si>
    <t xml:space="preserve">npmuttagi@deloitte.com </t>
  </si>
  <si>
    <t>Monagoni, SaiPreethi</t>
  </si>
  <si>
    <t>SMONAGONI@DELOITTE.COM</t>
  </si>
  <si>
    <t>Hugo Morales</t>
  </si>
  <si>
    <t>For CRM Mandatory trainings are GitHub Copilot, Datadog</t>
  </si>
  <si>
    <t>Mathew, Neethuanna</t>
  </si>
  <si>
    <t>nemathew@deloitte.com</t>
  </si>
  <si>
    <t>Sunder, Shyam</t>
  </si>
  <si>
    <t>SHYASUNDER@DELOITTE.COM</t>
  </si>
  <si>
    <t>Mathew Romstadt</t>
  </si>
  <si>
    <t>DUO setup done. VDI is accessible.
Received Compliance training email. Completed compliance training.
Raised AG tickets for Confluence, Github and ReadyAPI.
VDI setup done</t>
  </si>
  <si>
    <t>Ananya LNU</t>
  </si>
  <si>
    <t>ananylnu@deloitte.com</t>
  </si>
  <si>
    <t>Talla Jagapathi</t>
  </si>
  <si>
    <t>tjagapathi@deloitte.com</t>
  </si>
  <si>
    <t>Network</t>
  </si>
  <si>
    <t>Peter Yoo</t>
  </si>
  <si>
    <t>kevin Iy</t>
  </si>
  <si>
    <t>Andrew Huang/Timothy muse</t>
  </si>
  <si>
    <t>Asam Jagadeswara</t>
  </si>
  <si>
    <t>jaasam@deloitte.com</t>
  </si>
  <si>
    <t>RE/SRE/DevOps</t>
  </si>
  <si>
    <t>Sai Praneeth  </t>
  </si>
  <si>
    <t>Rohan Kulkarni</t>
  </si>
  <si>
    <t>rohankulkarni@deloitte.com</t>
  </si>
  <si>
    <t xml:space="preserve">Shanigarapu Kalyan Kumar </t>
  </si>
  <si>
    <t>skalyankumar@deloitte.com</t>
  </si>
  <si>
    <t>KANIKA RASTOGI</t>
  </si>
  <si>
    <t>karastogi@deloitte.com</t>
  </si>
  <si>
    <t>Mario Carbajal</t>
  </si>
  <si>
    <t>Pranjal Ramesh Gaonkar</t>
  </si>
  <si>
    <t>prgaonkar@deloitte.com</t>
  </si>
  <si>
    <t>Adarsh Gupta</t>
  </si>
  <si>
    <t>adgupta8@deloitte.com</t>
  </si>
  <si>
    <t>DSA-External</t>
  </si>
  <si>
    <t>Gurmeet</t>
  </si>
  <si>
    <t>Pravesh</t>
  </si>
  <si>
    <t>Dudekula, Aslam</t>
  </si>
  <si>
    <t>asdudekula@deloitte.com</t>
  </si>
  <si>
    <t>Phase2</t>
  </si>
  <si>
    <t> </t>
  </si>
  <si>
    <t>Banda, Sahith</t>
  </si>
  <si>
    <t>bansahith@deloitte.com</t>
  </si>
  <si>
    <t> Subbalaxmi</t>
  </si>
  <si>
    <t>+91 800-855-7999</t>
  </si>
  <si>
    <t>A, Raghul Prasanth</t>
  </si>
  <si>
    <t>ragha@deloitte.com</t>
  </si>
  <si>
    <t>Resignation</t>
  </si>
  <si>
    <t>+91 7373973816</t>
  </si>
  <si>
    <t xml:space="preserve">Mahesh Ghughe </t>
  </si>
  <si>
    <t>mghuge@deloitte.com</t>
  </si>
  <si>
    <t>RE</t>
  </si>
  <si>
    <t xml:space="preserve">Neeraj Agrawal </t>
  </si>
  <si>
    <t>Roll Off</t>
  </si>
  <si>
    <t>Sarath Krishnan</t>
  </si>
  <si>
    <t>sarkrishnan@deloitte.com</t>
  </si>
  <si>
    <t>Product</t>
  </si>
  <si>
    <t>Melissa Douros</t>
  </si>
  <si>
    <t>Sankeerth Bommi</t>
  </si>
  <si>
    <t>Samsung ( Harmony)</t>
  </si>
  <si>
    <t xml:space="preserve">S, Sricharan </t>
  </si>
  <si>
    <t>srichs@deloitte.com</t>
  </si>
  <si>
    <t> SRE</t>
  </si>
  <si>
    <t>SRE-BAAS</t>
  </si>
  <si>
    <t> Y</t>
  </si>
  <si>
    <t> No Access</t>
  </si>
  <si>
    <t xml:space="preserve">Mendhe, Vishnukant </t>
  </si>
  <si>
    <t>vmendhe@deloitte.com</t>
  </si>
  <si>
    <t>DSA Consultant</t>
  </si>
  <si>
    <t>Data</t>
  </si>
  <si>
    <t> ETL QA Senior</t>
  </si>
  <si>
    <t> Completed</t>
  </si>
  <si>
    <t> N</t>
  </si>
  <si>
    <t>+91 9284214192</t>
  </si>
  <si>
    <t xml:space="preserve">Mehra, Sheela </t>
  </si>
  <si>
    <t>shemehra@deloitte.com</t>
  </si>
  <si>
    <t>EDW Developer</t>
  </si>
  <si>
    <t>Y(Excluding GitHub)</t>
  </si>
  <si>
    <t>Nandyala Mridula Reddy</t>
  </si>
  <si>
    <t>nmridulareddy@deloitte.com</t>
  </si>
  <si>
    <t>ETL Developer</t>
  </si>
  <si>
    <t>Muhammed Azharuddin</t>
  </si>
  <si>
    <t>muhammedb.ext@deloitte.com</t>
  </si>
  <si>
    <t>DSA-Consultant</t>
  </si>
  <si>
    <t>ETL QA Senior</t>
  </si>
  <si>
    <t>Girish Busam</t>
  </si>
  <si>
    <t>gbusam@deloitte.com</t>
  </si>
  <si>
    <t>DSA-Senior Consultant</t>
  </si>
  <si>
    <t>Shivshankar Kallur</t>
  </si>
  <si>
    <t>shivshlnu@deloitte.com</t>
  </si>
  <si>
    <t>IDMC Developer</t>
  </si>
  <si>
    <t>Watte Ganesh Haridas</t>
  </si>
  <si>
    <t>wharidas@deloitte.com</t>
  </si>
  <si>
    <t>Payments</t>
  </si>
  <si>
    <t>Eduardo Espinoza Arriaza</t>
  </si>
  <si>
    <t>Payments - SysEng</t>
  </si>
  <si>
    <t>Vikram Singh Rana</t>
  </si>
  <si>
    <t>vikrrana@deloitte.com</t>
  </si>
  <si>
    <t>IDMC+ Data Lineage</t>
  </si>
  <si>
    <t>Ongoing</t>
  </si>
  <si>
    <t>Hanspara, Jay Jayantilal</t>
  </si>
  <si>
    <t>jahanspara@deloitte.com</t>
  </si>
  <si>
    <t xml:space="preserve">Active </t>
  </si>
  <si>
    <t>Cyber</t>
  </si>
  <si>
    <t>Joseph Santa Cruz</t>
  </si>
  <si>
    <t>GreenDot (next state)</t>
  </si>
  <si>
    <t>Salins, Nivin</t>
  </si>
  <si>
    <t>nsalins@deloitte.com</t>
  </si>
  <si>
    <t>Phase 2</t>
  </si>
  <si>
    <t>Legacy Migration -SSRS reports</t>
  </si>
  <si>
    <t>+91 9047860460</t>
  </si>
  <si>
    <t>Lakshmi Srujana, Pamarthi</t>
  </si>
  <si>
    <t>plakshmisrujana@deloitte.com</t>
  </si>
  <si>
    <t>Lakshmi Srujana Pamarthi</t>
  </si>
  <si>
    <t>Yash Rathore</t>
  </si>
  <si>
    <t>yrathore@deloitte.com</t>
  </si>
  <si>
    <t>Senior Consultant</t>
  </si>
  <si>
    <t>2026-08-01</t>
  </si>
  <si>
    <t>AWS</t>
  </si>
  <si>
    <t>Ravi Vemulla</t>
  </si>
  <si>
    <t>Just joined waiting for Laptop.</t>
  </si>
  <si>
    <t>7937937830</t>
  </si>
  <si>
    <t>Rahul Patki</t>
  </si>
  <si>
    <t>rpatki@deloitte.com</t>
  </si>
  <si>
    <t>2026-09-07</t>
  </si>
  <si>
    <t>Firewire Rsik</t>
  </si>
  <si>
    <t>Working on VDI setup</t>
  </si>
  <si>
    <t>97987698076</t>
  </si>
  <si>
    <t>Parvati Puranik</t>
  </si>
  <si>
    <t>ppuranik@deloitte.com</t>
  </si>
  <si>
    <t>2026-09-02</t>
  </si>
  <si>
    <t>UserID</t>
  </si>
  <si>
    <t>UserName</t>
  </si>
  <si>
    <t>PasswordHash</t>
  </si>
  <si>
    <t>Role</t>
  </si>
  <si>
    <t>Isactive</t>
  </si>
  <si>
    <t>Admin@123</t>
  </si>
  <si>
    <t>Admin</t>
  </si>
  <si>
    <t>TRUE</t>
  </si>
  <si>
    <t>User@123</t>
  </si>
  <si>
    <t>User</t>
  </si>
  <si>
    <t>kmullangi1@deloitte.com</t>
  </si>
  <si>
    <t>Admin2@456</t>
  </si>
  <si>
    <t>Plks@2000</t>
  </si>
  <si>
    <t>Admin@789</t>
  </si>
  <si>
    <t>Jarla@123</t>
  </si>
  <si>
    <t>FALSE</t>
  </si>
  <si>
    <t>psharma@deloitte.com</t>
  </si>
  <si>
    <t>StepID</t>
  </si>
  <si>
    <t>TeamName</t>
  </si>
  <si>
    <t>StepName</t>
  </si>
  <si>
    <t>StepOrder</t>
  </si>
  <si>
    <t>Description</t>
  </si>
  <si>
    <t>Submit Documents</t>
  </si>
  <si>
    <t>Submit ID and address proof</t>
  </si>
  <si>
    <t>BGC Check</t>
  </si>
  <si>
    <t>HR Initiates background check</t>
  </si>
  <si>
    <t>VDI Setup</t>
  </si>
  <si>
    <t>IT Configures VDI</t>
  </si>
  <si>
    <t>Tool Access</t>
  </si>
  <si>
    <t>Request project tool access</t>
  </si>
  <si>
    <t>FIREWIRE-BAU</t>
  </si>
  <si>
    <t>Submit Documents + Contract</t>
  </si>
  <si>
    <t>Submit ID, address proof and sign the contract</t>
  </si>
  <si>
    <t>Baas Mobile App</t>
  </si>
  <si>
    <t>CES-IVR Engineering</t>
  </si>
  <si>
    <t>FIREWIRE-Risk</t>
  </si>
  <si>
    <t>Increase VDI Space</t>
  </si>
  <si>
    <t>Raise request to increase size of VDI Space from 128 GB to 256 GB</t>
  </si>
  <si>
    <t>Installation</t>
  </si>
  <si>
    <t>Install all necessary softwares and register in git.</t>
  </si>
  <si>
    <t>Submit ID, address proof and sign the contract.</t>
  </si>
  <si>
    <t>ProgressID</t>
  </si>
  <si>
    <t>CandidateID</t>
  </si>
  <si>
    <t>Status</t>
  </si>
  <si>
    <t>CompletedDate</t>
  </si>
  <si>
    <t>NotStarted</t>
  </si>
  <si>
    <t>2026-09-05</t>
  </si>
  <si>
    <t>2026-09-04</t>
  </si>
  <si>
    <t>InProgress</t>
  </si>
  <si>
    <t>CandidateId</t>
  </si>
  <si>
    <t>Reason</t>
  </si>
  <si>
    <t>.Net Dev</t>
  </si>
  <si>
    <t>Client Escalation</t>
  </si>
  <si>
    <t>Late to setup VDI</t>
  </si>
  <si>
    <t>Contract Ended</t>
  </si>
  <si>
    <t>Not part of the team.</t>
  </si>
  <si>
    <t>Working in another project.</t>
  </si>
  <si>
    <t>TrainingID</t>
  </si>
  <si>
    <t>Domain</t>
  </si>
  <si>
    <t>DueDate</t>
  </si>
  <si>
    <t>DataDog</t>
  </si>
  <si>
    <t>AKS</t>
  </si>
  <si>
    <t>ROVO</t>
  </si>
  <si>
    <t>Copilot</t>
  </si>
  <si>
    <t>2026-09-30</t>
  </si>
  <si>
    <t>2026-08-31</t>
  </si>
  <si>
    <t>2026-09-03</t>
  </si>
  <si>
    <t>2026-09-01</t>
  </si>
  <si>
    <t>Project name</t>
  </si>
  <si>
    <t>Status (Active / InActive)</t>
  </si>
  <si>
    <t>Team Count</t>
  </si>
  <si>
    <t>Deloitte Team Lead</t>
  </si>
  <si>
    <t>Has Team Member(s) in USA? (Y/N)</t>
  </si>
  <si>
    <t>Has Team Member(s) in ADMX? (Y/N)</t>
  </si>
  <si>
    <t>Scrum Master
(Offshore)</t>
  </si>
  <si>
    <t>Scrum Master
(Onshore / GD)</t>
  </si>
  <si>
    <t>Scrum Master
(Release)</t>
  </si>
  <si>
    <t>Internal Meeting Cadence 
(If has Team in USA / ADMX)</t>
  </si>
  <si>
    <t>Rekha/Meenakshi</t>
  </si>
  <si>
    <t>M,T,TH,F - 10:30 - 11:00 PM IST 
USA : Daily Connect with Michael Griffin  
Mexico : Daily Connect with Jesus Enrique Rivera Hernandez</t>
  </si>
  <si>
    <t>Kiran, Venkat</t>
  </si>
  <si>
    <t>Rohit</t>
  </si>
  <si>
    <t>Hariprasad, Anandita</t>
  </si>
  <si>
    <t>Rekha</t>
  </si>
  <si>
    <t>Tamara</t>
  </si>
  <si>
    <t>Rekha (Twilio IVR)</t>
  </si>
  <si>
    <t>Sandra</t>
  </si>
  <si>
    <t>TAX</t>
  </si>
  <si>
    <t xml:space="preserve">M,T,W,TH,F - 8:45 - 9:15 PM IST 
 USA :  Daily Connect with Michael Griffin
 Mexico : Daily Connect with Snehal Vantashala </t>
  </si>
  <si>
    <t>Urvashi</t>
  </si>
  <si>
    <t>T R, Vasudevan T R</t>
  </si>
  <si>
    <t>Meenakshi</t>
  </si>
  <si>
    <t xml:space="preserve">M,T,TH,F - 10:00 - 10:30 PM IST 
USA : Daily Connect with Reema Sadguru naik,Suraj Gaikwad,Srikanth Bolluru Premraj,Dhanraj Kannan
Mexico : Daily Connect with Karthickean Senthilkumar,Vinnie Moreno,Hugo Martinez </t>
  </si>
  <si>
    <t>Latonya</t>
  </si>
  <si>
    <t xml:space="preserve">M,T,W,TH,F - 10:00 - 10:30 PM IST 
USA : Daily Connect with Raja Gubbala </t>
  </si>
  <si>
    <t xml:space="preserve">Sengupta, Debjoti </t>
  </si>
  <si>
    <t>Yogeetha</t>
  </si>
  <si>
    <t>Javier</t>
  </si>
  <si>
    <t>8:30 AM to 9: 00 AM PST with onshore Deloitte conterparts Gerardo,Prathyusha .Mon,Tue,Thu,Fri</t>
  </si>
  <si>
    <t>Jacki</t>
  </si>
  <si>
    <t>Previously these calls were scheduled. It was cancelled due to time constraints. Currently, 1 separate call with onshore Deloitte team is scheduled Weekly (on Wednesday)but Sean from GD joins this call, along with Souwmya, Daniel</t>
  </si>
  <si>
    <t>Web team (Retail &amp; Direct)</t>
  </si>
  <si>
    <t>Vamsi Kodamala</t>
  </si>
  <si>
    <t>RM</t>
  </si>
  <si>
    <t>A Mayuri</t>
  </si>
  <si>
    <t>BAAS-SRE</t>
  </si>
  <si>
    <t>RE /Devops</t>
  </si>
  <si>
    <t>Jackie</t>
  </si>
  <si>
    <t>Narayana Reddy</t>
  </si>
  <si>
    <t xml:space="preserve">M,T, W,TH,F - 9.00PM - 11:00 PM IST Daily connect (ACI with GD team) </t>
  </si>
  <si>
    <t>JIRA Adminstrator</t>
  </si>
  <si>
    <t>SRE-Firwire</t>
  </si>
  <si>
    <t>Shefali Walecha</t>
  </si>
  <si>
    <t>IT Infra</t>
  </si>
  <si>
    <t>M,W,F - 5:00 PM - 6:00 PM IST - Connect with Thomas (USA)</t>
  </si>
  <si>
    <t>Ntwork Infra</t>
  </si>
  <si>
    <t>M,T, W,TH,F - 9.00 PM - 11:00 PM IST Daily connect with Onshore team</t>
  </si>
  <si>
    <t>PROD Support</t>
  </si>
  <si>
    <t>RELEASE SUPPORT</t>
  </si>
  <si>
    <t>Fill this only if PROD Support is Applicable</t>
  </si>
  <si>
    <r>
      <rPr>
        <sz val="11"/>
        <color rgb="FF000000"/>
        <rFont val="Aptos Narrow"/>
        <family val="2"/>
      </rPr>
      <t>Team Member Available for 
W/E 21st</t>
    </r>
    <r>
      <rPr>
        <b/>
        <sz val="11"/>
        <color rgb="FF000000"/>
        <rFont val="Aptos Narrow"/>
        <family val="2"/>
      </rPr>
      <t xml:space="preserve"> June</t>
    </r>
    <r>
      <rPr>
        <sz val="11"/>
        <color rgb="FF000000"/>
        <rFont val="Aptos Narrow"/>
        <family val="2"/>
      </rPr>
      <t xml:space="preserve"> Support</t>
    </r>
  </si>
  <si>
    <t>LOB</t>
  </si>
  <si>
    <t>Track Name</t>
  </si>
  <si>
    <t>PROD Support Applicable 
(Y/N)</t>
  </si>
  <si>
    <t xml:space="preserve">PROD Support (Started / Not Started) </t>
  </si>
  <si>
    <t xml:space="preserve">PROD Support Confidence Level (In %) </t>
  </si>
  <si>
    <t>PROD Support ETA Date to achieve 100% Confidence</t>
  </si>
  <si>
    <t xml:space="preserve">PROD Support List of Challenges (if any) </t>
  </si>
  <si>
    <t>Total Count Of PROD Support Till date</t>
  </si>
  <si>
    <t>Tentative ETA to get 100% confidence</t>
  </si>
  <si>
    <t>Resource Name</t>
  </si>
  <si>
    <t>Contact Number</t>
  </si>
  <si>
    <t>Release Support Applicable (Y/N)</t>
  </si>
  <si>
    <t xml:space="preserve">Release Support (Started / Not Started) </t>
  </si>
  <si>
    <t>Total Count of Release Supported Till Date</t>
  </si>
  <si>
    <t>Ravi</t>
  </si>
  <si>
    <t>MMGDN</t>
  </si>
  <si>
    <t>Started</t>
  </si>
  <si>
    <t>July'26</t>
  </si>
  <si>
    <t>Moneymakers</t>
  </si>
  <si>
    <t>Not started</t>
  </si>
  <si>
    <t>GSS to AKS</t>
  </si>
  <si>
    <t>Forseti</t>
  </si>
  <si>
    <t>8978331141</t>
  </si>
  <si>
    <t>Retail and Direct(Walmart)</t>
  </si>
  <si>
    <t>Venkata Sai Kiran</t>
  </si>
  <si>
    <t>7842554062</t>
  </si>
  <si>
    <t>Firewire Modernization</t>
  </si>
  <si>
    <t>7829923270</t>
  </si>
  <si>
    <t>SBTPG - CRM</t>
  </si>
  <si>
    <t xml:space="preserve">SaiPreethi </t>
  </si>
  <si>
    <t>SBTPG - Preston</t>
  </si>
  <si>
    <t>NOV'25</t>
  </si>
  <si>
    <t>Vasudevan T R/ Vikash Patel</t>
  </si>
  <si>
    <t>9972012112 / 8880438460</t>
  </si>
  <si>
    <t xml:space="preserve">GBOS </t>
  </si>
  <si>
    <t>Twilio IVR</t>
  </si>
  <si>
    <t>Vishal Viswanathan</t>
  </si>
  <si>
    <t>9342832165</t>
  </si>
  <si>
    <t>100</t>
  </si>
  <si>
    <t>Continuous Deployment Saturday and Sunday.</t>
  </si>
  <si>
    <t>Kanika Rastogi</t>
  </si>
  <si>
    <t>8789956234</t>
  </si>
  <si>
    <t>Total Candidates Joined (Y) (on the ground</t>
  </si>
  <si>
    <t>Training</t>
  </si>
  <si>
    <t>Completed (Y)</t>
  </si>
  <si>
    <t>Not Completed (N)</t>
  </si>
  <si>
    <t>Not Applicable (N/A)</t>
  </si>
  <si>
    <t>Datadog</t>
  </si>
  <si>
    <t>Github Copilot</t>
  </si>
  <si>
    <t>16 are yet to join</t>
  </si>
  <si>
    <t>Client Compliance</t>
  </si>
  <si>
    <t>Team Onboarding Demographics</t>
  </si>
  <si>
    <t>sti</t>
  </si>
  <si>
    <t>US, Mexico</t>
  </si>
  <si>
    <t>Total Final accepts All location</t>
  </si>
  <si>
    <t xml:space="preserve">India - Total Final accepts </t>
  </si>
  <si>
    <t>Total team joined on the ground</t>
  </si>
  <si>
    <t>Yet to Join</t>
  </si>
  <si>
    <t>Total team in india who have VDI</t>
  </si>
  <si>
    <t>No VDI yet</t>
  </si>
  <si>
    <t>we discussed this with onsite today morning, and is being escalated</t>
  </si>
  <si>
    <t>Count of Level - Original</t>
  </si>
  <si>
    <t>Column Labels</t>
  </si>
  <si>
    <t>Row Labels</t>
  </si>
  <si>
    <t>Grand Total</t>
  </si>
  <si>
    <t>Joined status ONLY INDIA</t>
  </si>
  <si>
    <t>Count of Name</t>
  </si>
  <si>
    <t>not updated for 10 onsite</t>
  </si>
  <si>
    <t>KT/Delivery start status- ONLY India</t>
  </si>
  <si>
    <t>final accepted</t>
  </si>
  <si>
    <t>Gustavo adds to VDI tracker</t>
  </si>
  <si>
    <t>BGV spoc - Shika and amitabh and srikath m</t>
  </si>
  <si>
    <t>once BGV gustavo, is informed</t>
  </si>
  <si>
    <t>gustavo - tells client to process VDI</t>
  </si>
  <si>
    <t>BGV Status - all locations</t>
  </si>
  <si>
    <t>ADMX</t>
  </si>
  <si>
    <t>US</t>
  </si>
  <si>
    <t>(blank)</t>
  </si>
  <si>
    <t>No</t>
  </si>
  <si>
    <t>Partial</t>
  </si>
  <si>
    <t>Yes</t>
  </si>
  <si>
    <t>Training completion status for Joined</t>
  </si>
  <si>
    <t>Total Candidates Joined (Y)</t>
  </si>
  <si>
    <t>(All)</t>
  </si>
  <si>
    <t>Count of Email</t>
  </si>
  <si>
    <t>MandatoryTrainings</t>
  </si>
  <si>
    <t>POC</t>
  </si>
  <si>
    <t>Github Copilot, Datadog, AKS</t>
  </si>
  <si>
    <t>Birudugadda, Akshay kumar, Kodamala ,Vamsi</t>
  </si>
  <si>
    <t>Github Copilot, Datadog</t>
  </si>
  <si>
    <t>Anjali Sharma, Rama Lakshmi</t>
  </si>
  <si>
    <t>Mayuri Annepugola, Pratap Narayan</t>
  </si>
  <si>
    <t>DEVOPS</t>
  </si>
  <si>
    <t>Sai Chaitanya, BOLLA, Mahesh, D Ramlinga Sastry, MULA, SRINIVASULU, Swamy Rajesh, Manugula Jagadeswara Asam</t>
  </si>
  <si>
    <t>Mobile (Android/iOS)</t>
  </si>
  <si>
    <t>Hariprasad M(Android), Anandita (Android)</t>
  </si>
  <si>
    <t>Pearl Fernandez, T Vasudevan</t>
  </si>
  <si>
    <t>Kartheek, Bayyapuneedi</t>
  </si>
  <si>
    <t>Topic</t>
  </si>
  <si>
    <t>Link</t>
  </si>
  <si>
    <t>Vendor Compliance Training</t>
  </si>
  <si>
    <t>https://greendot365.sharepoint.com/sites/VendorComplianceTraining/Shared%20Documents/Forms/AllItems.aspx</t>
  </si>
  <si>
    <t>SkillSet</t>
  </si>
  <si>
    <t>GD Lead</t>
  </si>
  <si>
    <t>Total No. of Resources</t>
  </si>
  <si>
    <t>Additional Tools  Access requested specific to skillset</t>
  </si>
  <si>
    <t>Key Highlights</t>
  </si>
  <si>
    <t>Pat MacMannis (Firewire)</t>
  </si>
  <si>
    <r>
      <t>•</t>
    </r>
    <r>
      <rPr>
        <sz val="10.5"/>
        <color rgb="FF000000"/>
        <rFont val="Verdana"/>
        <family val="2"/>
      </rPr>
      <t>Firewire: Github, Azure Portal, ADO NP, ADO PROD, DC1 Account, CyberArk, Datadog, 9 Account, JumpBox, Teamcity, Octopus, Atlassian, Jfrog artifactory</t>
    </r>
  </si>
  <si>
    <r>
      <t>•</t>
    </r>
    <r>
      <rPr>
        <sz val="10.5"/>
        <color rgb="FF000000"/>
        <rFont val="Verdana"/>
        <family val="2"/>
      </rPr>
      <t>Both resources are going through KT recordings.</t>
    </r>
  </si>
  <si>
    <r>
      <t>•</t>
    </r>
    <r>
      <rPr>
        <sz val="10.5"/>
        <color rgb="FF000000"/>
        <rFont val="Verdana"/>
        <family val="2"/>
      </rPr>
      <t>Access to Github, Sciforma are pending for one resource</t>
    </r>
  </si>
  <si>
    <t>Mani Ramanathan (ArcPlatform)</t>
  </si>
  <si>
    <r>
      <t>•</t>
    </r>
    <r>
      <rPr>
        <sz val="10.5"/>
        <color rgb="FF000000"/>
        <rFont val="Verdana"/>
        <family val="2"/>
      </rPr>
      <t>ArcPlatform: Confluence, VS2022 (.Net Framework &amp; .Net Core), GitHub, GitHub Copilot, DB Access - Non/ Prod, DataDog, Team City, Octopus, Azure DevOps, Prod VDI, ActiveBatch, CosmosDB, RedShift, SSMS</t>
    </r>
  </si>
  <si>
    <r>
      <t>•</t>
    </r>
    <r>
      <rPr>
        <sz val="10.5"/>
        <color rgb="FF000000"/>
        <rFont val="Verdana"/>
        <family val="2"/>
      </rPr>
      <t xml:space="preserve">One resource pending with Dev environment setup in progress and started with the KT confluence page &amp; recordings. </t>
    </r>
  </si>
  <si>
    <r>
      <t>•</t>
    </r>
    <r>
      <rPr>
        <sz val="10.5"/>
        <color rgb="FF000000"/>
        <rFont val="Verdana"/>
        <family val="2"/>
      </rPr>
      <t>Github, Informatica, AWS Redshift</t>
    </r>
  </si>
  <si>
    <r>
      <t>•</t>
    </r>
    <r>
      <rPr>
        <sz val="10.5"/>
        <color rgb="FF000000"/>
        <rFont val="Verdana"/>
        <family val="2"/>
      </rPr>
      <t>Currently progressing on project deliverables for OnePay Wallet</t>
    </r>
  </si>
  <si>
    <r>
      <t>•</t>
    </r>
    <r>
      <rPr>
        <sz val="10.5"/>
        <color rgb="FF000000"/>
        <rFont val="Verdana"/>
        <family val="2"/>
      </rPr>
      <t>DC1 (prod server), Informatica POC (Shared path for code), Azure SQL DB, Microsoft SQL Server</t>
    </r>
  </si>
  <si>
    <r>
      <t>•</t>
    </r>
    <r>
      <rPr>
        <sz val="10.5"/>
        <color rgb="FF000000"/>
        <rFont val="Verdana"/>
        <family val="2"/>
      </rPr>
      <t>2 of 3 resources are working on prod support</t>
    </r>
  </si>
  <si>
    <t>Mobile (iOS and Android)</t>
  </si>
  <si>
    <r>
      <t>•</t>
    </r>
    <r>
      <rPr>
        <b/>
        <sz val="10.5"/>
        <color rgb="FF000000"/>
        <rFont val="Verdana"/>
        <family val="2"/>
      </rPr>
      <t>IDE</t>
    </r>
    <r>
      <rPr>
        <sz val="10.5"/>
        <color rgb="FF000000"/>
        <rFont val="Verdana"/>
        <family val="2"/>
      </rPr>
      <t>: Android Studio for Android, and XCode for iOS</t>
    </r>
  </si>
  <si>
    <r>
      <t>•</t>
    </r>
    <r>
      <rPr>
        <sz val="10.5"/>
        <color rgb="FF000000"/>
        <rFont val="Verdana"/>
        <family val="2"/>
      </rPr>
      <t>Received macOS VDI details, but unable to access due to IP address issue (GD team is working on the resolution).</t>
    </r>
  </si>
  <si>
    <r>
      <t>•</t>
    </r>
    <r>
      <rPr>
        <b/>
        <sz val="10.5"/>
        <color rgb="FF000000"/>
        <rFont val="Verdana"/>
        <family val="2"/>
      </rPr>
      <t xml:space="preserve">Github: </t>
    </r>
    <r>
      <rPr>
        <sz val="10.5"/>
        <color rgb="FF000000"/>
        <rFont val="Verdana"/>
        <family val="2"/>
      </rPr>
      <t>Copilot access if being used by client</t>
    </r>
  </si>
  <si>
    <r>
      <t>•</t>
    </r>
    <r>
      <rPr>
        <sz val="10.5"/>
        <color rgb="FF000000"/>
        <rFont val="Verdana"/>
        <family val="2"/>
      </rPr>
      <t>Going through KT and Onboarding contents. Project delivery is yet to start. Further info on Project Delivery after today's client connect</t>
    </r>
  </si>
  <si>
    <r>
      <t>•</t>
    </r>
    <r>
      <rPr>
        <b/>
        <sz val="10.5"/>
        <color rgb="FF000000"/>
        <rFont val="Verdana"/>
        <family val="2"/>
      </rPr>
      <t>Git GUI tool:</t>
    </r>
    <r>
      <rPr>
        <sz val="10.5"/>
        <color rgb="FF000000"/>
        <rFont val="Verdana"/>
        <family val="2"/>
      </rPr>
      <t xml:space="preserve"> Sourcetree or Github Desktop</t>
    </r>
  </si>
  <si>
    <t>RE &amp; SRE</t>
  </si>
  <si>
    <r>
      <t>•</t>
    </r>
    <r>
      <rPr>
        <sz val="10.5"/>
        <color rgb="FF000000"/>
        <rFont val="Verdana"/>
        <family val="2"/>
      </rPr>
      <t>Git Hub, Azure Portal, ADO NP, ADO PROD, DC1 Account, CyberArk, Datadog, 9 Account, JumpBox, Teamcity, Octopus, Atlassian, Jfrog artifactory</t>
    </r>
  </si>
  <si>
    <r>
      <t>•</t>
    </r>
    <r>
      <rPr>
        <sz val="10.5"/>
        <color rgb="FF000000"/>
        <rFont val="Verdana"/>
        <family val="2"/>
      </rPr>
      <t>2 resources are Working on the Legacy Non-Prod &amp; PRD Deployments.</t>
    </r>
  </si>
  <si>
    <r>
      <t>•</t>
    </r>
    <r>
      <rPr>
        <sz val="10.5"/>
        <color rgb="FF000000"/>
        <rFont val="Verdana"/>
        <family val="2"/>
      </rPr>
      <t>2 resources are awaiting VDI access.</t>
    </r>
  </si>
  <si>
    <r>
      <t>•</t>
    </r>
    <r>
      <rPr>
        <sz val="10.5"/>
        <color rgb="FF000000"/>
        <rFont val="Verdana"/>
        <family val="2"/>
      </rPr>
      <t>VS code and JIRA</t>
    </r>
  </si>
  <si>
    <r>
      <t>•</t>
    </r>
    <r>
      <rPr>
        <sz val="10.5"/>
        <color rgb="FF000000"/>
        <rFont val="Verdana"/>
        <family val="2"/>
      </rPr>
      <t>One resource is going through KT videos and started on JIRA story TAX-72949 from Sprint 141 and other resource is yet to start.</t>
    </r>
  </si>
  <si>
    <t>Topic(Only accessible in VDI)</t>
  </si>
  <si>
    <t>Green Dot - DevOps profile training</t>
  </si>
  <si>
    <t>green dot devops profile training - Cura</t>
  </si>
  <si>
    <t>Argo CD Training SH Dev/QA</t>
  </si>
  <si>
    <t>https://greendot365.sharepoint.com/:v:/r/sites/Techzone/Shared%20Documents/KT%20(Knowledge%20Transfers)%20channel/[Hold]%20-%20ArgoCD%20Training%20for%20SH%20Dev_QA%20Teams-20250226_191857-Meeting%20Recording.mp4</t>
  </si>
  <si>
    <t>Platform</t>
  </si>
  <si>
    <t>Title</t>
  </si>
  <si>
    <t>Course Link</t>
  </si>
  <si>
    <t>Est Time</t>
  </si>
  <si>
    <t>Remark</t>
  </si>
  <si>
    <t>Udemy</t>
  </si>
  <si>
    <t>GitHub Copilot Masterclass: The best AI Pair Programmer</t>
  </si>
  <si>
    <t>https://deloittedevelopment.udemy.com/course/github-copilot-masterclass</t>
  </si>
  <si>
    <t>1.5 Hrs</t>
  </si>
  <si>
    <t>Beginner</t>
  </si>
  <si>
    <t>The GitHub Copilot Masterclass</t>
  </si>
  <si>
    <t xml:space="preserve">https://deloittedevelopment.udemy.com/course/github-copilot-for-professionals </t>
  </si>
  <si>
    <t>6 Hrs</t>
  </si>
  <si>
    <t>Intermidiate</t>
  </si>
  <si>
    <t>Linkedin Learning</t>
  </si>
  <si>
    <t>AI Pair Programming with GitHub Copilot</t>
  </si>
  <si>
    <t>https://www.linkedin.com/learning/ai-pair-programming-with-github-copilot-25302433</t>
  </si>
  <si>
    <t>Refactoring with GitHub Copilot</t>
  </si>
  <si>
    <t>https://www.linkedin.com/learning/refactoring-with-github-copilot</t>
  </si>
  <si>
    <t>1 Hr</t>
  </si>
  <si>
    <t>AI Coding Agents with GitHub Copilot and Cursor</t>
  </si>
  <si>
    <t>https://www.linkedin.com/learning/ai-coding-agents-with-github-copilot-and-cursor</t>
  </si>
  <si>
    <t>40 m</t>
  </si>
  <si>
    <t>Azure Kubernetes Service(AKS)</t>
  </si>
  <si>
    <t>https://deloittedevelopment.udemy.com/course/azure-kubernetes-service-workshop/?utm_campaign=share-to-teams-from-product&amp;utm_source=ms-teams#overview</t>
  </si>
  <si>
    <t>2 Hrs</t>
  </si>
  <si>
    <t>Basic</t>
  </si>
  <si>
    <t>YouTube</t>
  </si>
  <si>
    <t>https://www.youtube.com/watch?v=o5qkgsyfRao</t>
  </si>
  <si>
    <t>https://www.youtube.com/watch?v=M7voIvA9vOo</t>
  </si>
  <si>
    <t>https://www.youtube.com/watch?v=LbEFkTukBqc</t>
  </si>
  <si>
    <t>https://www.youtube.com/watch?v=hNVR2k5D2nw</t>
  </si>
  <si>
    <t>Confluence</t>
  </si>
  <si>
    <t>https://www.atlassian.com/software/rovo/guides/end-user-guide/how-to-use-rovo</t>
  </si>
  <si>
    <t>https://www.atlassian.com/software/confluence/resources/guides/best-practices/confluence-rovo#autom…</t>
  </si>
  <si>
    <t>Datadog: Performance monitoring tool (from Zero to Hero)</t>
  </si>
  <si>
    <t>https://deloittedevelopment.udemy.com/course/datadog-performance-monitoring-tool-from-zero-to-hero/</t>
  </si>
  <si>
    <t>Datadog Monitoring - A Full Basic to ADVANCE Datadog guide</t>
  </si>
  <si>
    <t>https://deloittedevelopment.udemy.com/course/datadog-course/</t>
  </si>
  <si>
    <t>11.5 Hrs</t>
  </si>
  <si>
    <t>Cura Learning</t>
  </si>
  <si>
    <t>Datadog Youtube Channel</t>
  </si>
  <si>
    <t>https://becurious.edcast.eu/pathways/datadog-datadog-is/cards/100772211</t>
  </si>
  <si>
    <t>Youtube</t>
  </si>
  <si>
    <t>Datadog Mobile Development</t>
  </si>
  <si>
    <t>https://youtu.be/KcOGQfTYBBM?si=S1P-IjCUKVMt2tTh</t>
  </si>
  <si>
    <t xml:space="preserve"> 1 Hr</t>
  </si>
  <si>
    <t>Kubernetes: Microservices</t>
  </si>
  <si>
    <t>https://becurious.edcast.eu/pathways/green-dot-dot-net-profile-training/cards/101351141</t>
  </si>
  <si>
    <r>
      <t xml:space="preserve">Complete Guide To Unit Testing in .Net Core (NUnit &amp; XUnit)
</t>
    </r>
    <r>
      <rPr>
        <sz val="11"/>
        <color rgb="FFFF0000"/>
        <rFont val="Calibri"/>
        <family val="2"/>
      </rPr>
      <t>Only Section 1 - 4</t>
    </r>
  </si>
  <si>
    <t>https://becurious.edcast.eu/pathways/green-dot-dot-net-profile-training/cards/110221459</t>
  </si>
  <si>
    <r>
      <t xml:space="preserve">How to Write BulletProof Multi-Threaded C# Code
</t>
    </r>
    <r>
      <rPr>
        <sz val="11"/>
        <color rgb="FFFF0000"/>
        <rFont val="Calibri"/>
        <family val="2"/>
      </rPr>
      <t>Only Section Introducing Thread Locking</t>
    </r>
  </si>
  <si>
    <t>https://becurious.edcast.eu/pathways/green-dot-dot-net-profile-training/cards/100834837</t>
  </si>
  <si>
    <r>
      <t xml:space="preserve">Learn Parallel Programming with C# and .NET
</t>
    </r>
    <r>
      <rPr>
        <sz val="11"/>
        <color rgb="FFFF0000"/>
        <rFont val="Calibri"/>
        <family val="2"/>
      </rPr>
      <t>Only Sections:
- Task Programing
- Concurrent Collection
- [Optional] Task Coordination
- Async Programming
+ Task.WhenAll(), Task.WhenAny()</t>
    </r>
  </si>
  <si>
    <t>https://becurious.edcast.eu/pathways/green-dot-dot-net-profile-training/cards/100831530</t>
  </si>
  <si>
    <r>
      <t xml:space="preserve">Asp.Net Core 8 (.NET 8) | True Ultimate Guide
</t>
    </r>
    <r>
      <rPr>
        <sz val="11"/>
        <color rgb="FFFF0000"/>
        <rFont val="Calibri"/>
        <family val="2"/>
      </rPr>
      <t>Only Section 4 Middleware</t>
    </r>
  </si>
  <si>
    <t>https://becurious.edcast.eu/pathways/green-dot-dot-net-profile-training/cards/110314377</t>
  </si>
  <si>
    <t>Introduction to Containers - 90 Minute Crash Course</t>
  </si>
  <si>
    <t>https://becurious.edcast.eu/pathways/green-dot-dot-net-profile-training/cards/108778855</t>
  </si>
  <si>
    <t>Kubernetes for the Absolute Beginners - Hands-on</t>
  </si>
  <si>
    <t>https://becurious.edcast.eu/pathways/green-dot-dot-net-profile-training/cards/100527044</t>
  </si>
  <si>
    <r>
      <rPr>
        <sz val="11"/>
        <color rgb="FF000000"/>
        <rFont val="Calibri"/>
        <family val="2"/>
      </rPr>
      <t xml:space="preserve">RabbitMQ and Messaging Concepts
</t>
    </r>
    <r>
      <rPr>
        <sz val="11"/>
        <color rgb="FFFF0000"/>
        <rFont val="Calibri"/>
        <family val="2"/>
      </rPr>
      <t>Only Section:
[Section: Microservices Async Communication w/ RabbitMQ &amp; MassTransit for Checkout Order]</t>
    </r>
  </si>
  <si>
    <t>https://becurious.edcast.eu/pathways/green-dot-dot-net-profile-training/cards/100764263</t>
  </si>
  <si>
    <t xml:space="preserve">Microservices Architecture - The Complete Guide </t>
  </si>
  <si>
    <t>https://becurious.edcast.eu/pathways/green-dot-dot-net-profile-training/cards/101256005</t>
  </si>
  <si>
    <t>C# Test-Driven Development</t>
  </si>
  <si>
    <t>https://becurious.edcast.eu/insights/ECL-62a9fb5a-bfa5-48c8-b554-9a827d075124</t>
  </si>
  <si>
    <r>
      <t xml:space="preserve">Modern dotnet testing
</t>
    </r>
    <r>
      <rPr>
        <sz val="11"/>
        <color rgb="FFFF0000"/>
        <rFont val="Calibri"/>
        <family val="2"/>
      </rPr>
      <t>Only Section:
Integration Testing of Application - WebApplicationFactory, Service Isolation..]</t>
    </r>
  </si>
  <si>
    <t>https://deloittedevelopment.udemy.com/course/modern-dotnet-testing/?src=sac&amp;kw=Advanced+Automation+Testing+of+Modern+Apps+with+C%23+.NET</t>
  </si>
  <si>
    <t>Remarks</t>
  </si>
  <si>
    <t>Datadog Course</t>
  </si>
  <si>
    <t>https://deloittedevelopment.udemy.com/course/zero-to-hero-in-lightning-web-components/</t>
  </si>
  <si>
    <t xml:space="preserve">LWC </t>
  </si>
  <si>
    <t>https://youtu.be/KcOGQfTYBBM?si=sXHsdBeet9cwTHYP</t>
  </si>
  <si>
    <t>Begin with this to get an overview of DD mobile SDK</t>
  </si>
  <si>
    <t>https://github.com/DataDog/dd-sdk-ios</t>
  </si>
  <si>
    <t>Repository for DataDog iOS SDK</t>
  </si>
  <si>
    <t>https://docs.datadoghq.com/logs/log_collection/ios/?tab=swiftpackagemanagerspm</t>
  </si>
  <si>
    <t>iOS Log Collection</t>
  </si>
  <si>
    <t>https://docs.datadoghq.com/tracing/trace_collection/automatic_instrumentation/dd_libraries/ios/?tab=swiftpackagemanagerspm</t>
  </si>
  <si>
    <t>Tracing iOS Applications</t>
  </si>
  <si>
    <t>https://docs.datadoghq.com/real_user_monitoring/error_tracking/mobile/ios</t>
  </si>
  <si>
    <t>iOS Crash Reporting and Error Tracking</t>
  </si>
  <si>
    <t>Amazon Redshift Training Pathway</t>
  </si>
  <si>
    <t>Amazon Redshift Training Pathway Pathway - Cura</t>
  </si>
  <si>
    <t>Azure SQL</t>
  </si>
  <si>
    <t>Azure SQL Pathway - Cura</t>
  </si>
  <si>
    <t>IICS</t>
  </si>
  <si>
    <t>IICS Complete Guide 2024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</si>
</sst>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trike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</font>
    <font>
      <sz val="11"/>
      <color rgb="FFFF0000"/>
      <name val="Aptos Narrow"/>
      <family val="2"/>
    </font>
    <font>
      <sz val="11"/>
      <color rgb="FF242424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0"/>
      <color rgb="FF252424"/>
      <name val="Calibri"/>
      <family val="2"/>
    </font>
    <font>
      <sz val="10"/>
      <color rgb="FF000000"/>
      <name val="Calibri"/>
      <family val="2"/>
    </font>
    <font>
      <sz val="11"/>
      <color rgb="FF000000"/>
      <name val="Aptos"/>
      <family val="2"/>
    </font>
    <font>
      <sz val="9"/>
      <name val="Calibri"/>
      <family val="2"/>
    </font>
    <font>
      <sz val="10"/>
      <color theme="1"/>
      <name val="Open Sans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0.5"/>
      <color rgb="FFFFFFFF"/>
      <name val="Verdana"/>
      <family val="2"/>
    </font>
    <font>
      <sz val="10.5"/>
      <color rgb="FF000000"/>
      <name val="Verdana"/>
      <family val="2"/>
    </font>
    <font>
      <sz val="10.5"/>
      <color rgb="FF000000"/>
      <name val="Arial"/>
      <family val="2"/>
    </font>
    <font>
      <sz val="10.5"/>
      <name val="Arial"/>
      <family val="2"/>
    </font>
    <font>
      <b/>
      <sz val="10.5"/>
      <color rgb="FF000000"/>
      <name val="Verdana"/>
      <family val="2"/>
    </font>
    <font>
      <sz val="11"/>
      <color rgb="FFFF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86BC25"/>
        <bgColor rgb="FF000000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84BB20"/>
      </left>
      <right/>
      <top style="thin">
        <color rgb="FF84BB20"/>
      </top>
      <bottom style="thin">
        <color rgb="FF84BB20"/>
      </bottom>
      <diagonal/>
    </border>
    <border>
      <left/>
      <right/>
      <top style="thin">
        <color rgb="FF84BB20"/>
      </top>
      <bottom style="thin">
        <color rgb="FF84BB20"/>
      </bottom>
      <diagonal/>
    </border>
    <border>
      <left/>
      <right style="thin">
        <color rgb="FF84BB20"/>
      </right>
      <top style="thin">
        <color rgb="FF84BB20"/>
      </top>
      <bottom style="thin">
        <color rgb="FF84BB20"/>
      </bottom>
      <diagonal/>
    </border>
    <border>
      <left style="thin">
        <color rgb="FF84BB20"/>
      </left>
      <right/>
      <top style="thin">
        <color rgb="FF84BB20"/>
      </top>
      <bottom/>
      <diagonal/>
    </border>
    <border>
      <left style="thin">
        <color rgb="FF84BB20"/>
      </left>
      <right/>
      <top/>
      <bottom/>
      <diagonal/>
    </border>
    <border>
      <left/>
      <right/>
      <top style="thin">
        <color rgb="FF84BB20"/>
      </top>
      <bottom/>
      <diagonal/>
    </border>
    <border>
      <left/>
      <right style="thin">
        <color rgb="FF84BB20"/>
      </right>
      <top style="thin">
        <color rgb="FF84BB20"/>
      </top>
      <bottom/>
      <diagonal/>
    </border>
    <border>
      <left/>
      <right style="thin">
        <color rgb="FF84BB20"/>
      </right>
      <top/>
      <bottom/>
      <diagonal/>
    </border>
    <border>
      <left/>
      <right/>
      <top/>
      <bottom style="thin">
        <color rgb="FF84BB20"/>
      </bottom>
      <diagonal/>
    </border>
    <border>
      <left/>
      <right style="thin">
        <color rgb="FF84BB20"/>
      </right>
      <top/>
      <bottom style="thin">
        <color rgb="FF84BB20"/>
      </bottom>
      <diagonal/>
    </border>
    <border>
      <left style="thin">
        <color rgb="FF84BB20"/>
      </left>
      <right/>
      <top/>
      <bottom style="thin">
        <color rgb="FF84BB2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337">
    <xf numFmtId="0" fontId="0" fillId="0" borderId="0" xfId="0"/>
    <xf numFmtId="0" fontId="0" fillId="2" borderId="0" xfId="0" applyFill="1"/>
    <xf numFmtId="0" fontId="1" fillId="0" borderId="0" xfId="1"/>
    <xf numFmtId="14" fontId="0" fillId="0" borderId="0" xfId="0" applyNumberFormat="1"/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1" xfId="0" applyFont="1" applyBorder="1"/>
    <xf numFmtId="0" fontId="6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 wrapText="1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49" fontId="9" fillId="7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9" fontId="9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6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wrapText="1"/>
    </xf>
    <xf numFmtId="9" fontId="11" fillId="0" borderId="1" xfId="0" applyNumberFormat="1" applyFont="1" applyBorder="1" applyAlignment="1">
      <alignment horizontal="center" vertical="center"/>
    </xf>
    <xf numFmtId="16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16" fillId="4" borderId="1" xfId="0" applyFont="1" applyFill="1" applyBorder="1" applyAlignment="1">
      <alignment horizontal="center" wrapText="1"/>
    </xf>
    <xf numFmtId="17" fontId="9" fillId="0" borderId="1" xfId="0" applyNumberFormat="1" applyFont="1" applyBorder="1" applyAlignment="1">
      <alignment horizontal="center" vertical="center"/>
    </xf>
    <xf numFmtId="17" fontId="13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0" fillId="8" borderId="1" xfId="0" applyFill="1" applyBorder="1"/>
    <xf numFmtId="0" fontId="0" fillId="0" borderId="3" xfId="0" applyBorder="1"/>
    <xf numFmtId="0" fontId="4" fillId="0" borderId="1" xfId="0" applyFont="1" applyBorder="1"/>
    <xf numFmtId="0" fontId="0" fillId="8" borderId="10" xfId="0" applyFill="1" applyBorder="1"/>
    <xf numFmtId="0" fontId="4" fillId="9" borderId="11" xfId="0" applyFont="1" applyFill="1" applyBorder="1" applyAlignment="1">
      <alignment horizontal="center"/>
    </xf>
    <xf numFmtId="0" fontId="4" fillId="0" borderId="11" xfId="0" applyFont="1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8" borderId="11" xfId="0" applyFill="1" applyBorder="1" applyAlignment="1">
      <alignment horizontal="center" wrapText="1"/>
    </xf>
    <xf numFmtId="0" fontId="0" fillId="0" borderId="12" xfId="0" applyBorder="1"/>
    <xf numFmtId="0" fontId="0" fillId="0" borderId="12" xfId="0" applyBorder="1" applyAlignment="1">
      <alignment horizontal="center" wrapText="1"/>
    </xf>
    <xf numFmtId="0" fontId="4" fillId="3" borderId="10" xfId="0" applyFont="1" applyFill="1" applyBorder="1"/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9" fontId="0" fillId="0" borderId="0" xfId="2" applyFont="1"/>
    <xf numFmtId="0" fontId="0" fillId="0" borderId="0" xfId="0" applyAlignment="1">
      <alignment horizontal="left" indent="1"/>
    </xf>
    <xf numFmtId="0" fontId="4" fillId="10" borderId="11" xfId="0" applyFont="1" applyFill="1" applyBorder="1" applyAlignment="1">
      <alignment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1" xfId="0" applyFont="1" applyFill="1" applyBorder="1"/>
    <xf numFmtId="0" fontId="4" fillId="11" borderId="11" xfId="0" applyFont="1" applyFill="1" applyBorder="1"/>
    <xf numFmtId="0" fontId="0" fillId="11" borderId="11" xfId="0" applyFill="1" applyBorder="1"/>
    <xf numFmtId="0" fontId="1" fillId="11" borderId="11" xfId="1" applyFill="1" applyBorder="1"/>
    <xf numFmtId="0" fontId="17" fillId="11" borderId="11" xfId="0" applyFont="1" applyFill="1" applyBorder="1"/>
    <xf numFmtId="16" fontId="0" fillId="11" borderId="11" xfId="0" applyNumberFormat="1" applyFill="1" applyBorder="1" applyAlignment="1">
      <alignment horizontal="center"/>
    </xf>
    <xf numFmtId="15" fontId="18" fillId="11" borderId="11" xfId="0" applyNumberFormat="1" applyFont="1" applyFill="1" applyBorder="1" applyAlignment="1">
      <alignment horizontal="left" vertical="center"/>
    </xf>
    <xf numFmtId="0" fontId="0" fillId="12" borderId="11" xfId="0" applyFill="1" applyBorder="1"/>
    <xf numFmtId="0" fontId="11" fillId="0" borderId="15" xfId="0" applyFont="1" applyBorder="1"/>
    <xf numFmtId="0" fontId="17" fillId="0" borderId="11" xfId="0" applyFont="1" applyBorder="1"/>
    <xf numFmtId="16" fontId="0" fillId="0" borderId="11" xfId="0" applyNumberFormat="1" applyBorder="1" applyAlignment="1">
      <alignment horizontal="center"/>
    </xf>
    <xf numFmtId="0" fontId="1" fillId="0" borderId="11" xfId="1" applyBorder="1" applyAlignment="1"/>
    <xf numFmtId="0" fontId="17" fillId="0" borderId="16" xfId="0" applyFont="1" applyBorder="1"/>
    <xf numFmtId="0" fontId="17" fillId="0" borderId="17" xfId="0" applyFont="1" applyBorder="1"/>
    <xf numFmtId="14" fontId="0" fillId="0" borderId="11" xfId="0" applyNumberFormat="1" applyBorder="1"/>
    <xf numFmtId="0" fontId="0" fillId="0" borderId="11" xfId="0" applyBorder="1" applyAlignment="1">
      <alignment wrapText="1"/>
    </xf>
    <xf numFmtId="0" fontId="1" fillId="0" borderId="11" xfId="1" applyBorder="1"/>
    <xf numFmtId="0" fontId="17" fillId="12" borderId="0" xfId="0" applyFont="1" applyFill="1"/>
    <xf numFmtId="0" fontId="17" fillId="0" borderId="18" xfId="0" applyFont="1" applyBorder="1"/>
    <xf numFmtId="0" fontId="7" fillId="0" borderId="1" xfId="0" applyFont="1" applyBorder="1"/>
    <xf numFmtId="0" fontId="1" fillId="11" borderId="11" xfId="1" applyFill="1" applyBorder="1" applyAlignment="1"/>
    <xf numFmtId="0" fontId="17" fillId="11" borderId="13" xfId="0" applyFont="1" applyFill="1" applyBorder="1"/>
    <xf numFmtId="0" fontId="0" fillId="11" borderId="11" xfId="0" applyFill="1" applyBorder="1" applyAlignment="1">
      <alignment wrapText="1"/>
    </xf>
    <xf numFmtId="0" fontId="17" fillId="11" borderId="18" xfId="0" applyFont="1" applyFill="1" applyBorder="1"/>
    <xf numFmtId="0" fontId="0" fillId="11" borderId="11" xfId="0" applyFill="1" applyBorder="1" applyAlignment="1">
      <alignment vertical="center"/>
    </xf>
    <xf numFmtId="0" fontId="0" fillId="11" borderId="0" xfId="0" applyFill="1"/>
    <xf numFmtId="1" fontId="17" fillId="0" borderId="11" xfId="0" applyNumberFormat="1" applyFont="1" applyBorder="1"/>
    <xf numFmtId="0" fontId="17" fillId="12" borderId="19" xfId="0" applyFont="1" applyFill="1" applyBorder="1"/>
    <xf numFmtId="0" fontId="17" fillId="0" borderId="12" xfId="0" applyFont="1" applyBorder="1"/>
    <xf numFmtId="0" fontId="0" fillId="0" borderId="20" xfId="0" applyBorder="1"/>
    <xf numFmtId="0" fontId="17" fillId="0" borderId="1" xfId="0" applyFont="1" applyBorder="1"/>
    <xf numFmtId="0" fontId="17" fillId="0" borderId="14" xfId="0" applyFont="1" applyBorder="1"/>
    <xf numFmtId="0" fontId="0" fillId="12" borderId="11" xfId="0" applyFill="1" applyBorder="1" applyAlignment="1">
      <alignment vertical="center"/>
    </xf>
    <xf numFmtId="0" fontId="1" fillId="0" borderId="11" xfId="1" applyFill="1" applyBorder="1" applyAlignment="1"/>
    <xf numFmtId="0" fontId="0" fillId="4" borderId="11" xfId="0" applyFill="1" applyBorder="1"/>
    <xf numFmtId="0" fontId="1" fillId="4" borderId="11" xfId="1" applyFill="1" applyBorder="1" applyAlignment="1"/>
    <xf numFmtId="16" fontId="0" fillId="4" borderId="11" xfId="0" applyNumberFormat="1" applyFill="1" applyBorder="1" applyAlignment="1">
      <alignment horizontal="center"/>
    </xf>
    <xf numFmtId="0" fontId="0" fillId="4" borderId="1" xfId="0" applyFill="1" applyBorder="1"/>
    <xf numFmtId="0" fontId="0" fillId="11" borderId="1" xfId="0" applyFill="1" applyBorder="1"/>
    <xf numFmtId="0" fontId="7" fillId="11" borderId="1" xfId="0" applyFont="1" applyFill="1" applyBorder="1"/>
    <xf numFmtId="0" fontId="17" fillId="0" borderId="21" xfId="0" applyFont="1" applyBorder="1"/>
    <xf numFmtId="0" fontId="17" fillId="11" borderId="14" xfId="0" applyFont="1" applyFill="1" applyBorder="1"/>
    <xf numFmtId="0" fontId="17" fillId="11" borderId="22" xfId="0" applyFont="1" applyFill="1" applyBorder="1"/>
    <xf numFmtId="0" fontId="11" fillId="0" borderId="11" xfId="0" applyFont="1" applyBorder="1"/>
    <xf numFmtId="0" fontId="0" fillId="11" borderId="23" xfId="0" applyFill="1" applyBorder="1"/>
    <xf numFmtId="0" fontId="17" fillId="11" borderId="2" xfId="0" applyFont="1" applyFill="1" applyBorder="1"/>
    <xf numFmtId="0" fontId="0" fillId="11" borderId="2" xfId="0" applyFill="1" applyBorder="1"/>
    <xf numFmtId="0" fontId="17" fillId="11" borderId="21" xfId="0" applyFont="1" applyFill="1" applyBorder="1"/>
    <xf numFmtId="0" fontId="17" fillId="11" borderId="12" xfId="0" applyFont="1" applyFill="1" applyBorder="1"/>
    <xf numFmtId="16" fontId="0" fillId="0" borderId="16" xfId="0" applyNumberFormat="1" applyBorder="1" applyAlignment="1">
      <alignment horizontal="center"/>
    </xf>
    <xf numFmtId="0" fontId="17" fillId="12" borderId="11" xfId="0" applyFont="1" applyFill="1" applyBorder="1"/>
    <xf numFmtId="0" fontId="17" fillId="0" borderId="22" xfId="0" applyFont="1" applyBorder="1"/>
    <xf numFmtId="0" fontId="0" fillId="11" borderId="20" xfId="0" applyFill="1" applyBorder="1"/>
    <xf numFmtId="0" fontId="0" fillId="11" borderId="8" xfId="0" applyFill="1" applyBorder="1"/>
    <xf numFmtId="0" fontId="17" fillId="11" borderId="10" xfId="0" applyFont="1" applyFill="1" applyBorder="1"/>
    <xf numFmtId="0" fontId="0" fillId="11" borderId="10" xfId="0" applyFill="1" applyBorder="1"/>
    <xf numFmtId="0" fontId="17" fillId="11" borderId="15" xfId="0" applyFont="1" applyFill="1" applyBorder="1"/>
    <xf numFmtId="0" fontId="17" fillId="11" borderId="0" xfId="0" applyFont="1" applyFill="1"/>
    <xf numFmtId="0" fontId="19" fillId="12" borderId="11" xfId="0" applyFont="1" applyFill="1" applyBorder="1"/>
    <xf numFmtId="0" fontId="19" fillId="0" borderId="11" xfId="0" applyFont="1" applyBorder="1"/>
    <xf numFmtId="0" fontId="1" fillId="0" borderId="17" xfId="1" applyBorder="1"/>
    <xf numFmtId="0" fontId="19" fillId="0" borderId="20" xfId="0" applyFont="1" applyBorder="1"/>
    <xf numFmtId="0" fontId="9" fillId="0" borderId="15" xfId="0" applyFont="1" applyBorder="1"/>
    <xf numFmtId="15" fontId="20" fillId="0" borderId="11" xfId="0" applyNumberFormat="1" applyFont="1" applyBorder="1" applyAlignment="1">
      <alignment horizontal="left" vertical="center"/>
    </xf>
    <xf numFmtId="0" fontId="19" fillId="11" borderId="20" xfId="0" applyFont="1" applyFill="1" applyBorder="1"/>
    <xf numFmtId="0" fontId="17" fillId="11" borderId="24" xfId="0" applyFont="1" applyFill="1" applyBorder="1"/>
    <xf numFmtId="0" fontId="19" fillId="11" borderId="25" xfId="0" applyFont="1" applyFill="1" applyBorder="1"/>
    <xf numFmtId="0" fontId="0" fillId="11" borderId="25" xfId="0" applyFill="1" applyBorder="1"/>
    <xf numFmtId="0" fontId="17" fillId="11" borderId="25" xfId="0" applyFont="1" applyFill="1" applyBorder="1"/>
    <xf numFmtId="0" fontId="17" fillId="11" borderId="26" xfId="0" applyFont="1" applyFill="1" applyBorder="1"/>
    <xf numFmtId="0" fontId="19" fillId="11" borderId="11" xfId="0" applyFont="1" applyFill="1" applyBorder="1"/>
    <xf numFmtId="0" fontId="1" fillId="0" borderId="11" xfId="1" applyFill="1" applyBorder="1"/>
    <xf numFmtId="0" fontId="17" fillId="4" borderId="17" xfId="0" applyFont="1" applyFill="1" applyBorder="1"/>
    <xf numFmtId="0" fontId="17" fillId="4" borderId="11" xfId="0" applyFont="1" applyFill="1" applyBorder="1"/>
    <xf numFmtId="0" fontId="0" fillId="11" borderId="24" xfId="0" applyFill="1" applyBorder="1"/>
    <xf numFmtId="0" fontId="11" fillId="12" borderId="11" xfId="0" applyFont="1" applyFill="1" applyBorder="1"/>
    <xf numFmtId="0" fontId="5" fillId="0" borderId="11" xfId="0" applyFont="1" applyBorder="1"/>
    <xf numFmtId="0" fontId="17" fillId="7" borderId="1" xfId="0" applyFont="1" applyFill="1" applyBorder="1"/>
    <xf numFmtId="0" fontId="0" fillId="11" borderId="27" xfId="0" applyFill="1" applyBorder="1"/>
    <xf numFmtId="0" fontId="17" fillId="13" borderId="11" xfId="0" applyFont="1" applyFill="1" applyBorder="1"/>
    <xf numFmtId="0" fontId="0" fillId="0" borderId="23" xfId="0" applyBorder="1"/>
    <xf numFmtId="0" fontId="0" fillId="12" borderId="11" xfId="0" applyFill="1" applyBorder="1" applyAlignment="1">
      <alignment wrapText="1"/>
    </xf>
    <xf numFmtId="0" fontId="1" fillId="0" borderId="20" xfId="1" applyBorder="1" applyAlignment="1">
      <alignment wrapText="1"/>
    </xf>
    <xf numFmtId="0" fontId="0" fillId="0" borderId="3" xfId="0" applyBorder="1" applyAlignment="1">
      <alignment wrapText="1"/>
    </xf>
    <xf numFmtId="0" fontId="11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16" fontId="0" fillId="0" borderId="16" xfId="0" applyNumberFormat="1" applyBorder="1" applyAlignment="1">
      <alignment horizontal="center" wrapText="1"/>
    </xf>
    <xf numFmtId="0" fontId="17" fillId="0" borderId="17" xfId="0" applyFont="1" applyBorder="1" applyAlignment="1">
      <alignment wrapText="1"/>
    </xf>
    <xf numFmtId="0" fontId="0" fillId="0" borderId="0" xfId="0" applyAlignment="1">
      <alignment wrapText="1"/>
    </xf>
    <xf numFmtId="0" fontId="17" fillId="0" borderId="11" xfId="0" applyFont="1" applyBorder="1" applyAlignment="1">
      <alignment wrapText="1"/>
    </xf>
    <xf numFmtId="0" fontId="1" fillId="0" borderId="20" xfId="1" applyBorder="1"/>
    <xf numFmtId="0" fontId="1" fillId="11" borderId="0" xfId="1" applyFill="1"/>
    <xf numFmtId="0" fontId="0" fillId="11" borderId="14" xfId="0" applyFill="1" applyBorder="1"/>
    <xf numFmtId="0" fontId="17" fillId="11" borderId="28" xfId="0" applyFont="1" applyFill="1" applyBorder="1"/>
    <xf numFmtId="0" fontId="0" fillId="11" borderId="12" xfId="0" applyFill="1" applyBorder="1"/>
    <xf numFmtId="0" fontId="0" fillId="11" borderId="11" xfId="0" applyFill="1" applyBorder="1" applyAlignment="1">
      <alignment horizontal="center"/>
    </xf>
    <xf numFmtId="0" fontId="0" fillId="11" borderId="3" xfId="0" applyFill="1" applyBorder="1"/>
    <xf numFmtId="0" fontId="11" fillId="11" borderId="1" xfId="0" applyFont="1" applyFill="1" applyBorder="1"/>
    <xf numFmtId="0" fontId="17" fillId="11" borderId="1" xfId="0" applyFont="1" applyFill="1" applyBorder="1"/>
    <xf numFmtId="16" fontId="0" fillId="11" borderId="16" xfId="0" applyNumberFormat="1" applyFill="1" applyBorder="1" applyAlignment="1">
      <alignment horizontal="center"/>
    </xf>
    <xf numFmtId="15" fontId="0" fillId="0" borderId="11" xfId="0" applyNumberFormat="1" applyBorder="1" applyAlignment="1">
      <alignment horizontal="center"/>
    </xf>
    <xf numFmtId="0" fontId="21" fillId="12" borderId="11" xfId="0" applyFont="1" applyFill="1" applyBorder="1"/>
    <xf numFmtId="0" fontId="0" fillId="11" borderId="13" xfId="0" applyFill="1" applyBorder="1"/>
    <xf numFmtId="0" fontId="0" fillId="11" borderId="19" xfId="0" applyFill="1" applyBorder="1"/>
    <xf numFmtId="0" fontId="7" fillId="11" borderId="0" xfId="0" applyFont="1" applyFill="1"/>
    <xf numFmtId="0" fontId="7" fillId="14" borderId="0" xfId="0" applyFont="1" applyFill="1"/>
    <xf numFmtId="0" fontId="11" fillId="0" borderId="10" xfId="0" applyFont="1" applyBorder="1"/>
    <xf numFmtId="0" fontId="0" fillId="0" borderId="10" xfId="0" applyBorder="1"/>
    <xf numFmtId="0" fontId="17" fillId="0" borderId="10" xfId="0" applyFont="1" applyBorder="1"/>
    <xf numFmtId="0" fontId="17" fillId="0" borderId="15" xfId="0" applyFont="1" applyBorder="1"/>
    <xf numFmtId="0" fontId="21" fillId="0" borderId="11" xfId="0" applyFont="1" applyBorder="1"/>
    <xf numFmtId="0" fontId="17" fillId="0" borderId="0" xfId="0" applyFont="1"/>
    <xf numFmtId="0" fontId="21" fillId="11" borderId="11" xfId="0" applyFont="1" applyFill="1" applyBorder="1"/>
    <xf numFmtId="0" fontId="19" fillId="11" borderId="1" xfId="0" applyFont="1" applyFill="1" applyBorder="1"/>
    <xf numFmtId="0" fontId="0" fillId="4" borderId="12" xfId="0" applyFill="1" applyBorder="1"/>
    <xf numFmtId="0" fontId="1" fillId="11" borderId="22" xfId="1" applyFill="1" applyBorder="1"/>
    <xf numFmtId="0" fontId="17" fillId="11" borderId="29" xfId="0" applyFont="1" applyFill="1" applyBorder="1"/>
    <xf numFmtId="0" fontId="17" fillId="11" borderId="16" xfId="0" applyFont="1" applyFill="1" applyBorder="1"/>
    <xf numFmtId="0" fontId="0" fillId="0" borderId="14" xfId="0" applyBorder="1"/>
    <xf numFmtId="0" fontId="0" fillId="0" borderId="27" xfId="0" applyBorder="1"/>
    <xf numFmtId="0" fontId="0" fillId="12" borderId="12" xfId="0" applyFill="1" applyBorder="1"/>
    <xf numFmtId="0" fontId="1" fillId="0" borderId="22" xfId="1" applyBorder="1"/>
    <xf numFmtId="0" fontId="22" fillId="0" borderId="0" xfId="0" applyFont="1"/>
    <xf numFmtId="0" fontId="0" fillId="0" borderId="13" xfId="0" applyBorder="1"/>
    <xf numFmtId="0" fontId="17" fillId="12" borderId="12" xfId="0" applyFont="1" applyFill="1" applyBorder="1"/>
    <xf numFmtId="0" fontId="17" fillId="15" borderId="17" xfId="0" applyFont="1" applyFill="1" applyBorder="1"/>
    <xf numFmtId="0" fontId="11" fillId="0" borderId="26" xfId="0" applyFont="1" applyBorder="1"/>
    <xf numFmtId="0" fontId="0" fillId="0" borderId="22" xfId="0" applyBorder="1"/>
    <xf numFmtId="16" fontId="17" fillId="0" borderId="12" xfId="0" applyNumberFormat="1" applyFont="1" applyBorder="1" applyAlignment="1">
      <alignment horizontal="center"/>
    </xf>
    <xf numFmtId="0" fontId="7" fillId="0" borderId="0" xfId="0" applyFont="1"/>
    <xf numFmtId="0" fontId="0" fillId="11" borderId="29" xfId="0" applyFill="1" applyBorder="1"/>
    <xf numFmtId="0" fontId="0" fillId="11" borderId="16" xfId="0" applyFill="1" applyBorder="1"/>
    <xf numFmtId="15" fontId="11" fillId="11" borderId="16" xfId="0" applyNumberFormat="1" applyFont="1" applyFill="1" applyBorder="1" applyAlignment="1">
      <alignment horizontal="center" vertical="center"/>
    </xf>
    <xf numFmtId="15" fontId="11" fillId="0" borderId="16" xfId="0" applyNumberFormat="1" applyFont="1" applyBorder="1" applyAlignment="1">
      <alignment horizontal="center" vertical="center"/>
    </xf>
    <xf numFmtId="0" fontId="9" fillId="0" borderId="0" xfId="0" applyFont="1"/>
    <xf numFmtId="0" fontId="0" fillId="0" borderId="16" xfId="0" applyBorder="1"/>
    <xf numFmtId="0" fontId="0" fillId="0" borderId="11" xfId="0" applyBorder="1" applyAlignment="1">
      <alignment horizontal="right"/>
    </xf>
    <xf numFmtId="0" fontId="9" fillId="0" borderId="11" xfId="0" applyFont="1" applyBorder="1"/>
    <xf numFmtId="0" fontId="1" fillId="0" borderId="4" xfId="1" applyFill="1" applyBorder="1" applyAlignment="1"/>
    <xf numFmtId="0" fontId="9" fillId="0" borderId="30" xfId="0" applyFont="1" applyBorder="1"/>
    <xf numFmtId="0" fontId="9" fillId="0" borderId="16" xfId="0" applyFont="1" applyBorder="1"/>
    <xf numFmtId="15" fontId="9" fillId="0" borderId="16" xfId="0" applyNumberFormat="1" applyFont="1" applyBorder="1" applyAlignment="1">
      <alignment horizontal="center"/>
    </xf>
    <xf numFmtId="0" fontId="9" fillId="0" borderId="4" xfId="0" applyFont="1" applyBorder="1"/>
    <xf numFmtId="0" fontId="9" fillId="0" borderId="16" xfId="0" applyFont="1" applyBorder="1" applyAlignment="1">
      <alignment horizontal="right"/>
    </xf>
    <xf numFmtId="0" fontId="23" fillId="15" borderId="4" xfId="0" applyFont="1" applyFill="1" applyBorder="1"/>
    <xf numFmtId="0" fontId="9" fillId="0" borderId="14" xfId="0" applyFont="1" applyBorder="1"/>
    <xf numFmtId="0" fontId="9" fillId="12" borderId="31" xfId="0" applyFont="1" applyFill="1" applyBorder="1" applyAlignment="1">
      <alignment wrapText="1"/>
    </xf>
    <xf numFmtId="0" fontId="1" fillId="0" borderId="31" xfId="1" applyBorder="1"/>
    <xf numFmtId="0" fontId="9" fillId="0" borderId="28" xfId="0" applyFont="1" applyBorder="1"/>
    <xf numFmtId="15" fontId="11" fillId="0" borderId="16" xfId="0" applyNumberFormat="1" applyFont="1" applyBorder="1" applyAlignment="1">
      <alignment horizontal="center"/>
    </xf>
    <xf numFmtId="0" fontId="9" fillId="0" borderId="31" xfId="0" applyFont="1" applyBorder="1"/>
    <xf numFmtId="0" fontId="19" fillId="0" borderId="26" xfId="0" applyFont="1" applyBorder="1"/>
    <xf numFmtId="0" fontId="9" fillId="0" borderId="31" xfId="0" applyFont="1" applyBorder="1" applyAlignment="1">
      <alignment wrapText="1"/>
    </xf>
    <xf numFmtId="0" fontId="1" fillId="0" borderId="15" xfId="1" applyBorder="1"/>
    <xf numFmtId="0" fontId="9" fillId="0" borderId="15" xfId="0" quotePrefix="1" applyFont="1" applyBorder="1" applyAlignment="1">
      <alignment horizontal="right"/>
    </xf>
    <xf numFmtId="0" fontId="1" fillId="0" borderId="15" xfId="1" applyFill="1" applyBorder="1" applyAlignment="1"/>
    <xf numFmtId="0" fontId="9" fillId="0" borderId="15" xfId="0" applyFont="1" applyBorder="1" applyAlignment="1">
      <alignment horizontal="right"/>
    </xf>
    <xf numFmtId="0" fontId="9" fillId="12" borderId="15" xfId="0" applyFont="1" applyFill="1" applyBorder="1"/>
    <xf numFmtId="0" fontId="11" fillId="0" borderId="0" xfId="0" applyFont="1"/>
    <xf numFmtId="0" fontId="11" fillId="12" borderId="16" xfId="0" applyFont="1" applyFill="1" applyBorder="1"/>
    <xf numFmtId="0" fontId="1" fillId="0" borderId="16" xfId="1" applyFill="1" applyBorder="1"/>
    <xf numFmtId="0" fontId="11" fillId="0" borderId="28" xfId="0" applyFont="1" applyBorder="1"/>
    <xf numFmtId="0" fontId="11" fillId="0" borderId="16" xfId="0" applyFont="1" applyBorder="1"/>
    <xf numFmtId="0" fontId="11" fillId="0" borderId="21" xfId="0" applyFont="1" applyBorder="1"/>
    <xf numFmtId="0" fontId="11" fillId="11" borderId="15" xfId="0" applyFont="1" applyFill="1" applyBorder="1"/>
    <xf numFmtId="0" fontId="11" fillId="11" borderId="28" xfId="0" applyFont="1" applyFill="1" applyBorder="1"/>
    <xf numFmtId="0" fontId="11" fillId="11" borderId="15" xfId="0" applyFont="1" applyFill="1" applyBorder="1" applyAlignment="1">
      <alignment horizontal="right"/>
    </xf>
    <xf numFmtId="0" fontId="11" fillId="0" borderId="14" xfId="0" applyFont="1" applyBorder="1"/>
    <xf numFmtId="0" fontId="1" fillId="0" borderId="15" xfId="1" applyFill="1" applyBorder="1"/>
    <xf numFmtId="0" fontId="11" fillId="0" borderId="15" xfId="0" applyFont="1" applyBorder="1" applyAlignment="1">
      <alignment horizontal="right"/>
    </xf>
    <xf numFmtId="15" fontId="11" fillId="0" borderId="15" xfId="0" applyNumberFormat="1" applyFont="1" applyBorder="1" applyAlignment="1">
      <alignment horizontal="center"/>
    </xf>
    <xf numFmtId="14" fontId="1" fillId="0" borderId="11" xfId="1" applyNumberFormat="1" applyBorder="1" applyAlignment="1">
      <alignment horizontal="left" vertical="center"/>
    </xf>
    <xf numFmtId="0" fontId="11" fillId="12" borderId="15" xfId="0" applyFont="1" applyFill="1" applyBorder="1"/>
    <xf numFmtId="0" fontId="11" fillId="0" borderId="16" xfId="0" applyFont="1" applyBorder="1" applyAlignment="1">
      <alignment horizontal="right"/>
    </xf>
    <xf numFmtId="0" fontId="24" fillId="0" borderId="11" xfId="0" applyFont="1" applyBorder="1"/>
    <xf numFmtId="0" fontId="1" fillId="0" borderId="12" xfId="1" applyBorder="1"/>
    <xf numFmtId="0" fontId="11" fillId="11" borderId="27" xfId="0" applyFont="1" applyFill="1" applyBorder="1"/>
    <xf numFmtId="0" fontId="25" fillId="11" borderId="1" xfId="0" applyFont="1" applyFill="1" applyBorder="1"/>
    <xf numFmtId="0" fontId="1" fillId="11" borderId="1" xfId="1" applyFill="1" applyBorder="1"/>
    <xf numFmtId="15" fontId="0" fillId="11" borderId="11" xfId="0" applyNumberFormat="1" applyFill="1" applyBorder="1" applyAlignment="1">
      <alignment horizontal="center"/>
    </xf>
    <xf numFmtId="0" fontId="26" fillId="11" borderId="11" xfId="0" applyFont="1" applyFill="1" applyBorder="1" applyAlignment="1">
      <alignment horizontal="left" vertical="center"/>
    </xf>
    <xf numFmtId="15" fontId="20" fillId="11" borderId="11" xfId="0" applyNumberFormat="1" applyFont="1" applyFill="1" applyBorder="1" applyAlignment="1">
      <alignment horizontal="left" vertical="center"/>
    </xf>
    <xf numFmtId="0" fontId="25" fillId="11" borderId="11" xfId="0" applyFont="1" applyFill="1" applyBorder="1"/>
    <xf numFmtId="0" fontId="11" fillId="0" borderId="27" xfId="0" applyFont="1" applyBorder="1"/>
    <xf numFmtId="0" fontId="17" fillId="12" borderId="1" xfId="0" applyFont="1" applyFill="1" applyBorder="1"/>
    <xf numFmtId="0" fontId="1" fillId="0" borderId="1" xfId="1" applyBorder="1"/>
    <xf numFmtId="0" fontId="0" fillId="12" borderId="1" xfId="0" applyFill="1" applyBorder="1"/>
    <xf numFmtId="0" fontId="1" fillId="0" borderId="1" xfId="1" applyBorder="1" applyAlignment="1">
      <alignment horizontal="left" vertical="center"/>
    </xf>
    <xf numFmtId="0" fontId="0" fillId="0" borderId="32" xfId="0" applyBorder="1"/>
    <xf numFmtId="0" fontId="27" fillId="12" borderId="0" xfId="0" applyFont="1" applyFill="1"/>
    <xf numFmtId="0" fontId="28" fillId="0" borderId="12" xfId="0" applyFont="1" applyBorder="1" applyAlignment="1">
      <alignment vertical="center"/>
    </xf>
    <xf numFmtId="0" fontId="4" fillId="0" borderId="12" xfId="0" applyFont="1" applyBorder="1"/>
    <xf numFmtId="0" fontId="1" fillId="0" borderId="0" xfId="1" applyAlignment="1">
      <alignment wrapText="1"/>
    </xf>
    <xf numFmtId="0" fontId="1" fillId="0" borderId="0" xfId="1" applyAlignment="1">
      <alignment vertical="center"/>
    </xf>
    <xf numFmtId="0" fontId="17" fillId="4" borderId="11" xfId="0" applyFont="1" applyFill="1" applyBorder="1" applyAlignment="1">
      <alignment horizontal="left" vertical="center"/>
    </xf>
    <xf numFmtId="0" fontId="1" fillId="4" borderId="11" xfId="1" applyFill="1" applyBorder="1" applyAlignment="1">
      <alignment horizontal="left" vertical="center"/>
    </xf>
    <xf numFmtId="0" fontId="17" fillId="4" borderId="11" xfId="0" applyFont="1" applyFill="1" applyBorder="1" applyAlignment="1">
      <alignment horizontal="left" vertical="center" wrapText="1"/>
    </xf>
    <xf numFmtId="0" fontId="1" fillId="4" borderId="11" xfId="1" applyFill="1" applyBorder="1" applyAlignment="1">
      <alignment vertical="center"/>
    </xf>
    <xf numFmtId="0" fontId="1" fillId="0" borderId="0" xfId="1" applyFill="1"/>
    <xf numFmtId="0" fontId="28" fillId="4" borderId="11" xfId="0" applyFont="1" applyFill="1" applyBorder="1" applyAlignment="1">
      <alignment horizontal="left" vertical="center"/>
    </xf>
    <xf numFmtId="0" fontId="28" fillId="4" borderId="11" xfId="0" applyFont="1" applyFill="1" applyBorder="1" applyAlignment="1">
      <alignment horizontal="left" vertical="center" wrapText="1"/>
    </xf>
    <xf numFmtId="0" fontId="1" fillId="0" borderId="1" xfId="1" applyBorder="1" applyAlignment="1">
      <alignment wrapText="1"/>
    </xf>
    <xf numFmtId="0" fontId="28" fillId="0" borderId="11" xfId="0" applyFont="1" applyBorder="1" applyAlignment="1">
      <alignment vertical="center"/>
    </xf>
    <xf numFmtId="0" fontId="29" fillId="0" borderId="11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" fillId="0" borderId="11" xfId="1" applyBorder="1" applyAlignment="1">
      <alignment vertical="center"/>
    </xf>
    <xf numFmtId="0" fontId="30" fillId="16" borderId="11" xfId="0" applyFont="1" applyFill="1" applyBorder="1"/>
    <xf numFmtId="0" fontId="6" fillId="0" borderId="12" xfId="0" applyFont="1" applyBorder="1" applyAlignment="1">
      <alignment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wrapText="1"/>
    </xf>
    <xf numFmtId="0" fontId="6" fillId="0" borderId="12" xfId="0" applyFont="1" applyBorder="1"/>
    <xf numFmtId="0" fontId="6" fillId="0" borderId="11" xfId="0" applyFont="1" applyBorder="1"/>
    <xf numFmtId="0" fontId="6" fillId="0" borderId="11" xfId="0" applyFont="1" applyBorder="1" applyAlignment="1">
      <alignment horizontal="left" vertical="center"/>
    </xf>
    <xf numFmtId="0" fontId="31" fillId="17" borderId="33" xfId="0" applyFont="1" applyFill="1" applyBorder="1" applyAlignment="1">
      <alignment horizontal="left" vertical="center" wrapText="1" readingOrder="1"/>
    </xf>
    <xf numFmtId="0" fontId="31" fillId="17" borderId="34" xfId="0" applyFont="1" applyFill="1" applyBorder="1" applyAlignment="1">
      <alignment horizontal="left" vertical="center" wrapText="1" readingOrder="1"/>
    </xf>
    <xf numFmtId="0" fontId="31" fillId="17" borderId="35" xfId="0" applyFont="1" applyFill="1" applyBorder="1" applyAlignment="1">
      <alignment horizontal="left" vertical="center" wrapText="1" readingOrder="1"/>
    </xf>
    <xf numFmtId="0" fontId="34" fillId="0" borderId="39" xfId="0" applyFont="1" applyBorder="1" applyAlignment="1">
      <alignment horizontal="left" vertical="center" wrapText="1" readingOrder="1"/>
    </xf>
    <xf numFmtId="0" fontId="34" fillId="0" borderId="40" xfId="0" applyFont="1" applyBorder="1" applyAlignment="1">
      <alignment horizontal="left" vertical="center" wrapText="1" readingOrder="1"/>
    </xf>
    <xf numFmtId="0" fontId="32" fillId="0" borderId="34" xfId="0" applyFont="1" applyBorder="1" applyAlignment="1">
      <alignment horizontal="left" vertical="center" wrapText="1" readingOrder="1"/>
    </xf>
    <xf numFmtId="0" fontId="34" fillId="0" borderId="34" xfId="0" applyFont="1" applyBorder="1" applyAlignment="1">
      <alignment horizontal="left" vertical="center" wrapText="1" readingOrder="1"/>
    </xf>
    <xf numFmtId="0" fontId="34" fillId="0" borderId="38" xfId="0" applyFont="1" applyBorder="1" applyAlignment="1">
      <alignment horizontal="left" vertical="center" wrapText="1" readingOrder="1"/>
    </xf>
    <xf numFmtId="0" fontId="34" fillId="0" borderId="41" xfId="0" applyFont="1" applyBorder="1" applyAlignment="1">
      <alignment horizontal="left" vertical="center" wrapText="1" readingOrder="1"/>
    </xf>
    <xf numFmtId="0" fontId="34" fillId="0" borderId="42" xfId="0" applyFont="1" applyBorder="1" applyAlignment="1">
      <alignment horizontal="left" vertical="center" wrapText="1" readingOrder="1"/>
    </xf>
    <xf numFmtId="0" fontId="34" fillId="0" borderId="0" xfId="0" applyFont="1" applyAlignment="1">
      <alignment horizontal="left" vertical="center" wrapText="1" readingOrder="1"/>
    </xf>
    <xf numFmtId="0" fontId="33" fillId="0" borderId="40" xfId="0" applyFont="1" applyBorder="1" applyAlignment="1">
      <alignment horizontal="left" vertical="center" wrapText="1" readingOrder="1"/>
    </xf>
    <xf numFmtId="0" fontId="6" fillId="0" borderId="42" xfId="0" applyFont="1" applyBorder="1" applyAlignment="1">
      <alignment horizontal="left" vertical="top" wrapText="1"/>
    </xf>
    <xf numFmtId="0" fontId="32" fillId="0" borderId="33" xfId="0" applyFont="1" applyBorder="1" applyAlignment="1">
      <alignment horizontal="left" vertical="center" wrapText="1" readingOrder="1"/>
    </xf>
    <xf numFmtId="0" fontId="34" fillId="0" borderId="35" xfId="0" applyFont="1" applyBorder="1" applyAlignment="1">
      <alignment horizontal="left" vertical="center" wrapText="1" readingOrder="1"/>
    </xf>
    <xf numFmtId="0" fontId="0" fillId="10" borderId="0" xfId="0" applyFill="1"/>
    <xf numFmtId="0" fontId="10" fillId="5" borderId="3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2" fillId="0" borderId="36" xfId="0" applyFont="1" applyBorder="1" applyAlignment="1">
      <alignment horizontal="left" vertical="center" wrapText="1" readingOrder="1"/>
    </xf>
    <xf numFmtId="0" fontId="32" fillId="0" borderId="37" xfId="0" applyFont="1" applyBorder="1" applyAlignment="1">
      <alignment horizontal="left" vertical="center" wrapText="1" readingOrder="1"/>
    </xf>
    <xf numFmtId="0" fontId="32" fillId="0" borderId="38" xfId="0" applyFont="1" applyBorder="1" applyAlignment="1">
      <alignment horizontal="left" vertical="center" wrapText="1" readingOrder="1"/>
    </xf>
    <xf numFmtId="0" fontId="32" fillId="0" borderId="41" xfId="0" applyFont="1" applyBorder="1" applyAlignment="1">
      <alignment horizontal="left" vertical="center" wrapText="1" readingOrder="1"/>
    </xf>
    <xf numFmtId="0" fontId="33" fillId="0" borderId="38" xfId="0" applyFont="1" applyBorder="1" applyAlignment="1">
      <alignment horizontal="left" vertical="center" wrapText="1" readingOrder="1"/>
    </xf>
    <xf numFmtId="0" fontId="33" fillId="0" borderId="41" xfId="0" applyFont="1" applyBorder="1" applyAlignment="1">
      <alignment horizontal="left" vertical="center" wrapText="1" readingOrder="1"/>
    </xf>
    <xf numFmtId="0" fontId="32" fillId="0" borderId="43" xfId="0" applyFont="1" applyBorder="1" applyAlignment="1">
      <alignment horizontal="left" vertical="center" wrapText="1" readingOrder="1"/>
    </xf>
    <xf numFmtId="0" fontId="34" fillId="0" borderId="38" xfId="0" applyFont="1" applyBorder="1" applyAlignment="1">
      <alignment horizontal="left" vertical="center" wrapText="1" readingOrder="1"/>
    </xf>
    <xf numFmtId="0" fontId="34" fillId="0" borderId="41" xfId="0" applyFont="1" applyBorder="1" applyAlignment="1">
      <alignment horizontal="left" vertical="center" wrapText="1" readingOrder="1"/>
    </xf>
    <xf numFmtId="0" fontId="32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 vertical="center"/>
    </xf>
  </cellXfs>
  <cellStyles count="3">
    <cellStyle name="Hyperlink" xfId="1" builtinId="8"/>
    <cellStyle name="Normal" xfId="0" builtinId="0"/>
    <cellStyle name="Percent" xfId="2" builtinId="5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rohankulkarni/AppData/Roaming/Microsoft/Excel/TeamTracker%20(version%201).xlsb" TargetMode="External"/><Relationship Id="rId1" Type="http://schemas.openxmlformats.org/officeDocument/2006/relationships/externalLinkPath" Target="/Users/rohankulkarni/AppData/Roaming/Microsoft/Excel/TeamTracker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ndatory Trainings"/>
      <sheetName val="List of Projects"/>
      <sheetName val="Compliance Training"/>
      <sheetName val="Prod_Release Support Details"/>
      <sheetName val="Trainings Count"/>
      <sheetName val="Detail1"/>
      <sheetName val="Sheet3"/>
      <sheetName val="Sheet6"/>
      <sheetName val="Pivot"/>
      <sheetName val="Team"/>
      <sheetName val="FTEs"/>
      <sheetName val="RESRE"/>
      <sheetName val="Copilot"/>
      <sheetName val="AKS"/>
      <sheetName val="ROVO"/>
      <sheetName val="DataDog"/>
      <sheetName val=".Net"/>
      <sheetName val="CRM"/>
      <sheetName val="iOS"/>
      <sheetName val="ETL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L1" t="str">
            <v>Joined</v>
          </cell>
          <cell r="U1" t="str">
            <v>Datadog (Y/N)</v>
          </cell>
          <cell r="V1" t="str">
            <v>AKS Trained (Y/N)</v>
          </cell>
          <cell r="AB1" t="str">
            <v>Co-Pilot Trained (Y/N)</v>
          </cell>
        </row>
        <row r="2">
          <cell r="L2" t="str">
            <v>Y</v>
          </cell>
          <cell r="U2" t="str">
            <v>Y</v>
          </cell>
          <cell r="V2" t="str">
            <v>Y</v>
          </cell>
          <cell r="AB2" t="str">
            <v>Y</v>
          </cell>
        </row>
        <row r="3">
          <cell r="L3" t="str">
            <v>Y</v>
          </cell>
          <cell r="U3" t="str">
            <v>Y</v>
          </cell>
          <cell r="V3" t="str">
            <v>Y</v>
          </cell>
          <cell r="AB3" t="str">
            <v>Y</v>
          </cell>
        </row>
        <row r="4">
          <cell r="L4" t="str">
            <v>Y</v>
          </cell>
          <cell r="U4" t="str">
            <v>Y</v>
          </cell>
          <cell r="V4" t="str">
            <v>N/A</v>
          </cell>
          <cell r="AB4" t="str">
            <v>N/A</v>
          </cell>
        </row>
        <row r="5">
          <cell r="L5" t="str">
            <v>Y</v>
          </cell>
          <cell r="U5" t="str">
            <v>Y</v>
          </cell>
          <cell r="V5" t="str">
            <v>Y</v>
          </cell>
          <cell r="AB5" t="str">
            <v>Y</v>
          </cell>
        </row>
        <row r="6">
          <cell r="L6" t="str">
            <v>Y</v>
          </cell>
          <cell r="U6" t="str">
            <v>Y</v>
          </cell>
          <cell r="V6" t="str">
            <v>N/A</v>
          </cell>
          <cell r="AB6" t="str">
            <v>Y</v>
          </cell>
        </row>
        <row r="7">
          <cell r="L7" t="str">
            <v>Y</v>
          </cell>
          <cell r="U7" t="str">
            <v>Y</v>
          </cell>
          <cell r="V7" t="str">
            <v>N/A</v>
          </cell>
          <cell r="AB7" t="str">
            <v>N/A</v>
          </cell>
        </row>
        <row r="8">
          <cell r="L8" t="str">
            <v>Y</v>
          </cell>
          <cell r="U8" t="str">
            <v>Y</v>
          </cell>
          <cell r="V8" t="str">
            <v>Y</v>
          </cell>
          <cell r="AB8" t="str">
            <v>Y</v>
          </cell>
        </row>
        <row r="9">
          <cell r="L9" t="str">
            <v>Y</v>
          </cell>
          <cell r="U9" t="str">
            <v>Y</v>
          </cell>
          <cell r="V9" t="str">
            <v>Y</v>
          </cell>
          <cell r="AB9" t="str">
            <v>Y</v>
          </cell>
        </row>
        <row r="10">
          <cell r="L10" t="str">
            <v>Y</v>
          </cell>
          <cell r="U10" t="str">
            <v>Y</v>
          </cell>
          <cell r="V10" t="str">
            <v>N/A</v>
          </cell>
          <cell r="AB10" t="str">
            <v>Y</v>
          </cell>
        </row>
        <row r="11">
          <cell r="L11" t="str">
            <v>Y</v>
          </cell>
          <cell r="U11" t="str">
            <v>Y</v>
          </cell>
          <cell r="V11" t="str">
            <v>N/A</v>
          </cell>
          <cell r="AB11" t="str">
            <v>N/A</v>
          </cell>
        </row>
        <row r="12">
          <cell r="L12" t="str">
            <v>Y</v>
          </cell>
          <cell r="U12" t="str">
            <v>Y</v>
          </cell>
          <cell r="V12" t="str">
            <v>Y</v>
          </cell>
          <cell r="AB12" t="str">
            <v>Y</v>
          </cell>
        </row>
        <row r="13">
          <cell r="L13" t="str">
            <v>Y</v>
          </cell>
          <cell r="U13" t="str">
            <v>Y</v>
          </cell>
          <cell r="V13" t="str">
            <v>N/A</v>
          </cell>
          <cell r="AB13" t="str">
            <v>Y</v>
          </cell>
        </row>
        <row r="14">
          <cell r="L14" t="str">
            <v>Y</v>
          </cell>
          <cell r="U14" t="str">
            <v>Y</v>
          </cell>
          <cell r="V14" t="str">
            <v>N/A</v>
          </cell>
          <cell r="AB14" t="str">
            <v>Y</v>
          </cell>
        </row>
        <row r="15">
          <cell r="L15" t="str">
            <v>Y</v>
          </cell>
          <cell r="U15" t="str">
            <v>Y</v>
          </cell>
          <cell r="V15" t="str">
            <v>Y</v>
          </cell>
          <cell r="AB15" t="str">
            <v>Y</v>
          </cell>
        </row>
        <row r="16">
          <cell r="L16" t="str">
            <v>Y</v>
          </cell>
          <cell r="U16" t="str">
            <v>Y</v>
          </cell>
          <cell r="V16" t="str">
            <v>Y</v>
          </cell>
          <cell r="AB16" t="str">
            <v>Y</v>
          </cell>
        </row>
        <row r="17">
          <cell r="L17" t="str">
            <v>Y</v>
          </cell>
          <cell r="U17" t="str">
            <v>N/A</v>
          </cell>
          <cell r="V17" t="str">
            <v>N/A</v>
          </cell>
          <cell r="AB17" t="str">
            <v>Y</v>
          </cell>
        </row>
        <row r="18">
          <cell r="L18" t="str">
            <v>Y</v>
          </cell>
          <cell r="U18" t="str">
            <v>Y</v>
          </cell>
          <cell r="V18" t="str">
            <v>Y</v>
          </cell>
          <cell r="AB18" t="str">
            <v>Y</v>
          </cell>
        </row>
        <row r="19">
          <cell r="L19" t="str">
            <v>Y</v>
          </cell>
          <cell r="U19" t="str">
            <v>Y</v>
          </cell>
          <cell r="V19" t="str">
            <v>Y</v>
          </cell>
          <cell r="AB19" t="str">
            <v>Y</v>
          </cell>
        </row>
        <row r="20">
          <cell r="L20" t="str">
            <v>Y</v>
          </cell>
          <cell r="U20" t="str">
            <v>Y</v>
          </cell>
          <cell r="V20" t="str">
            <v>Y</v>
          </cell>
          <cell r="AB20" t="str">
            <v>Y</v>
          </cell>
        </row>
        <row r="21">
          <cell r="L21" t="str">
            <v>Y</v>
          </cell>
          <cell r="U21" t="str">
            <v>Y</v>
          </cell>
          <cell r="V21" t="str">
            <v>Y</v>
          </cell>
          <cell r="AB21" t="str">
            <v>Y</v>
          </cell>
        </row>
        <row r="22">
          <cell r="L22" t="str">
            <v>Y</v>
          </cell>
          <cell r="U22" t="str">
            <v>Y</v>
          </cell>
          <cell r="V22" t="str">
            <v>Y</v>
          </cell>
          <cell r="AB22" t="str">
            <v>Y</v>
          </cell>
        </row>
        <row r="23">
          <cell r="L23" t="str">
            <v>Y</v>
          </cell>
          <cell r="U23" t="str">
            <v>Y</v>
          </cell>
          <cell r="V23" t="str">
            <v>Y</v>
          </cell>
          <cell r="AB23" t="str">
            <v>Y</v>
          </cell>
        </row>
        <row r="24">
          <cell r="L24" t="str">
            <v>Y</v>
          </cell>
          <cell r="U24" t="str">
            <v>Y</v>
          </cell>
          <cell r="V24" t="str">
            <v>Y</v>
          </cell>
          <cell r="AB24" t="str">
            <v>Y</v>
          </cell>
        </row>
        <row r="25">
          <cell r="L25" t="str">
            <v>Y</v>
          </cell>
          <cell r="U25" t="str">
            <v>N/A</v>
          </cell>
          <cell r="V25" t="str">
            <v>N/A</v>
          </cell>
          <cell r="AB25" t="str">
            <v>Y</v>
          </cell>
        </row>
        <row r="26">
          <cell r="L26" t="str">
            <v>Y</v>
          </cell>
          <cell r="U26" t="str">
            <v>Y</v>
          </cell>
          <cell r="V26" t="str">
            <v>Y</v>
          </cell>
          <cell r="AB26" t="str">
            <v>Y</v>
          </cell>
        </row>
        <row r="27">
          <cell r="L27" t="str">
            <v>Y</v>
          </cell>
          <cell r="U27" t="str">
            <v>Y</v>
          </cell>
          <cell r="V27" t="str">
            <v>N/A</v>
          </cell>
          <cell r="AB27" t="str">
            <v>N/A</v>
          </cell>
        </row>
        <row r="28">
          <cell r="L28" t="str">
            <v>Y</v>
          </cell>
          <cell r="U28" t="str">
            <v>Y</v>
          </cell>
          <cell r="V28" t="str">
            <v>Y</v>
          </cell>
          <cell r="AB28" t="str">
            <v>Y</v>
          </cell>
        </row>
        <row r="29">
          <cell r="L29" t="str">
            <v>Y</v>
          </cell>
          <cell r="U29" t="str">
            <v>Y</v>
          </cell>
          <cell r="V29" t="str">
            <v>Y</v>
          </cell>
          <cell r="AB29" t="str">
            <v>Y</v>
          </cell>
        </row>
        <row r="30">
          <cell r="L30" t="str">
            <v>Y</v>
          </cell>
          <cell r="U30" t="str">
            <v>Y</v>
          </cell>
          <cell r="V30" t="str">
            <v>Y</v>
          </cell>
          <cell r="AB30" t="str">
            <v>Y</v>
          </cell>
        </row>
        <row r="31">
          <cell r="L31" t="str">
            <v>Y</v>
          </cell>
          <cell r="U31" t="str">
            <v>Y</v>
          </cell>
          <cell r="V31" t="str">
            <v>N/A</v>
          </cell>
          <cell r="AB31" t="str">
            <v>Y</v>
          </cell>
        </row>
        <row r="32">
          <cell r="L32" t="str">
            <v>Y</v>
          </cell>
          <cell r="U32" t="str">
            <v>Y</v>
          </cell>
          <cell r="V32" t="str">
            <v>Y</v>
          </cell>
          <cell r="AB32" t="str">
            <v>Y</v>
          </cell>
        </row>
        <row r="33">
          <cell r="L33" t="str">
            <v>Y</v>
          </cell>
          <cell r="U33" t="str">
            <v>Y</v>
          </cell>
          <cell r="V33" t="str">
            <v>Y</v>
          </cell>
          <cell r="AB33" t="str">
            <v>Y</v>
          </cell>
        </row>
        <row r="34">
          <cell r="L34" t="str">
            <v>Y</v>
          </cell>
          <cell r="U34" t="str">
            <v>Y</v>
          </cell>
          <cell r="V34" t="str">
            <v>Y</v>
          </cell>
          <cell r="AB34" t="str">
            <v>Y</v>
          </cell>
        </row>
        <row r="35">
          <cell r="L35" t="str">
            <v>Y</v>
          </cell>
          <cell r="U35" t="str">
            <v>Y</v>
          </cell>
          <cell r="V35" t="str">
            <v>Y</v>
          </cell>
          <cell r="AB35" t="str">
            <v>Y</v>
          </cell>
        </row>
        <row r="36">
          <cell r="L36" t="str">
            <v>Y</v>
          </cell>
          <cell r="U36" t="str">
            <v>N/A</v>
          </cell>
          <cell r="V36" t="str">
            <v>N/A</v>
          </cell>
          <cell r="AB36" t="str">
            <v>Y</v>
          </cell>
        </row>
        <row r="37">
          <cell r="L37" t="str">
            <v>Y</v>
          </cell>
          <cell r="U37" t="str">
            <v>Y</v>
          </cell>
          <cell r="V37" t="str">
            <v>Y</v>
          </cell>
          <cell r="AB37" t="str">
            <v>Y</v>
          </cell>
        </row>
        <row r="38">
          <cell r="L38" t="str">
            <v>Y</v>
          </cell>
          <cell r="U38" t="str">
            <v>Y</v>
          </cell>
          <cell r="V38" t="str">
            <v>Y</v>
          </cell>
          <cell r="AB38" t="str">
            <v>Y</v>
          </cell>
        </row>
        <row r="39">
          <cell r="L39" t="str">
            <v>Y</v>
          </cell>
          <cell r="U39" t="str">
            <v>Y</v>
          </cell>
          <cell r="V39" t="str">
            <v>Y</v>
          </cell>
          <cell r="AB39" t="str">
            <v>Y</v>
          </cell>
        </row>
        <row r="40">
          <cell r="L40" t="str">
            <v>Y</v>
          </cell>
          <cell r="U40" t="str">
            <v>Y</v>
          </cell>
          <cell r="V40" t="str">
            <v>Y</v>
          </cell>
          <cell r="AB40" t="str">
            <v>Y</v>
          </cell>
        </row>
        <row r="41">
          <cell r="L41" t="str">
            <v>Y</v>
          </cell>
          <cell r="U41" t="str">
            <v>N/A</v>
          </cell>
          <cell r="V41" t="str">
            <v>N/A</v>
          </cell>
          <cell r="AB41" t="str">
            <v>Y</v>
          </cell>
        </row>
        <row r="42">
          <cell r="L42" t="str">
            <v>Y</v>
          </cell>
          <cell r="U42" t="str">
            <v>Y</v>
          </cell>
          <cell r="V42" t="str">
            <v>Y</v>
          </cell>
          <cell r="AB42" t="str">
            <v>Y</v>
          </cell>
        </row>
        <row r="43">
          <cell r="L43" t="str">
            <v>Y</v>
          </cell>
          <cell r="U43" t="str">
            <v>Y</v>
          </cell>
          <cell r="V43" t="str">
            <v>Y</v>
          </cell>
          <cell r="AB43" t="str">
            <v>Y</v>
          </cell>
        </row>
        <row r="44">
          <cell r="L44" t="str">
            <v>Y</v>
          </cell>
          <cell r="U44" t="str">
            <v>Y</v>
          </cell>
          <cell r="V44" t="str">
            <v>Y</v>
          </cell>
          <cell r="AB44" t="str">
            <v>Y</v>
          </cell>
        </row>
        <row r="45">
          <cell r="L45" t="str">
            <v>Y</v>
          </cell>
          <cell r="U45" t="str">
            <v>Y</v>
          </cell>
          <cell r="V45" t="str">
            <v>Y</v>
          </cell>
          <cell r="AB45" t="str">
            <v>Y</v>
          </cell>
        </row>
        <row r="46">
          <cell r="L46" t="str">
            <v>Y</v>
          </cell>
          <cell r="U46" t="str">
            <v>Y</v>
          </cell>
          <cell r="V46" t="str">
            <v>Y</v>
          </cell>
          <cell r="AB46" t="str">
            <v>Y</v>
          </cell>
        </row>
        <row r="47">
          <cell r="L47" t="str">
            <v>Y</v>
          </cell>
          <cell r="U47" t="str">
            <v>Y</v>
          </cell>
          <cell r="V47" t="str">
            <v>Y</v>
          </cell>
          <cell r="AB47" t="str">
            <v>Y</v>
          </cell>
        </row>
        <row r="48">
          <cell r="L48" t="str">
            <v>Y</v>
          </cell>
          <cell r="U48" t="str">
            <v>Y</v>
          </cell>
          <cell r="V48" t="str">
            <v>Y</v>
          </cell>
          <cell r="AB48" t="str">
            <v>Y</v>
          </cell>
        </row>
        <row r="49">
          <cell r="L49" t="str">
            <v>Y</v>
          </cell>
          <cell r="U49" t="str">
            <v>Y</v>
          </cell>
          <cell r="V49" t="str">
            <v>Y</v>
          </cell>
          <cell r="AB49" t="str">
            <v>Y</v>
          </cell>
        </row>
        <row r="50">
          <cell r="L50" t="str">
            <v>Y</v>
          </cell>
          <cell r="U50" t="str">
            <v>Y</v>
          </cell>
          <cell r="V50" t="str">
            <v>Y</v>
          </cell>
          <cell r="AB50" t="str">
            <v>Y</v>
          </cell>
        </row>
        <row r="51">
          <cell r="L51" t="str">
            <v>Y</v>
          </cell>
          <cell r="U51" t="str">
            <v>Y</v>
          </cell>
          <cell r="V51" t="str">
            <v>Y</v>
          </cell>
          <cell r="AB51" t="str">
            <v>Y</v>
          </cell>
        </row>
        <row r="52">
          <cell r="L52" t="str">
            <v>Y</v>
          </cell>
          <cell r="U52" t="str">
            <v>Y</v>
          </cell>
          <cell r="V52" t="str">
            <v>Y</v>
          </cell>
          <cell r="AB52" t="str">
            <v>Y</v>
          </cell>
        </row>
        <row r="53">
          <cell r="L53" t="str">
            <v>Y</v>
          </cell>
          <cell r="U53" t="str">
            <v>Y</v>
          </cell>
          <cell r="V53" t="str">
            <v>Y</v>
          </cell>
          <cell r="AB53" t="str">
            <v>Y</v>
          </cell>
        </row>
        <row r="54">
          <cell r="L54" t="str">
            <v>Y</v>
          </cell>
          <cell r="U54" t="str">
            <v>Y</v>
          </cell>
          <cell r="V54" t="str">
            <v>N/A</v>
          </cell>
          <cell r="AB54" t="str">
            <v>N/A</v>
          </cell>
        </row>
        <row r="55">
          <cell r="L55" t="str">
            <v>Y</v>
          </cell>
          <cell r="U55" t="str">
            <v>Y</v>
          </cell>
          <cell r="V55" t="str">
            <v>Y</v>
          </cell>
          <cell r="AB55" t="str">
            <v>Y</v>
          </cell>
        </row>
        <row r="56">
          <cell r="L56" t="str">
            <v>Y</v>
          </cell>
          <cell r="U56" t="str">
            <v>Y</v>
          </cell>
          <cell r="V56" t="str">
            <v>Y</v>
          </cell>
          <cell r="AB56" t="str">
            <v>Y</v>
          </cell>
        </row>
        <row r="57">
          <cell r="L57" t="str">
            <v>N</v>
          </cell>
          <cell r="U57" t="str">
            <v>N</v>
          </cell>
          <cell r="V57" t="str">
            <v>N</v>
          </cell>
          <cell r="AB57" t="str">
            <v>N</v>
          </cell>
        </row>
        <row r="58">
          <cell r="L58" t="str">
            <v>Y</v>
          </cell>
          <cell r="U58" t="str">
            <v>Y</v>
          </cell>
          <cell r="V58" t="str">
            <v>Y</v>
          </cell>
          <cell r="AB58" t="str">
            <v>Y</v>
          </cell>
        </row>
        <row r="59">
          <cell r="L59" t="str">
            <v>Y</v>
          </cell>
          <cell r="U59" t="str">
            <v>Y</v>
          </cell>
          <cell r="V59" t="str">
            <v>Y</v>
          </cell>
          <cell r="AB59" t="str">
            <v>Y</v>
          </cell>
        </row>
        <row r="60">
          <cell r="L60" t="str">
            <v>Y</v>
          </cell>
          <cell r="U60" t="str">
            <v>Y</v>
          </cell>
          <cell r="V60" t="str">
            <v>Y</v>
          </cell>
          <cell r="AB60" t="str">
            <v>Y</v>
          </cell>
        </row>
        <row r="61">
          <cell r="L61" t="str">
            <v>Y</v>
          </cell>
          <cell r="U61" t="str">
            <v>Y</v>
          </cell>
          <cell r="V61" t="str">
            <v>Y</v>
          </cell>
          <cell r="AB61" t="str">
            <v>Y</v>
          </cell>
        </row>
        <row r="62">
          <cell r="L62" t="str">
            <v>Y</v>
          </cell>
          <cell r="U62" t="str">
            <v>N/A</v>
          </cell>
          <cell r="V62" t="str">
            <v>N/A</v>
          </cell>
          <cell r="AB62" t="str">
            <v>Y</v>
          </cell>
        </row>
        <row r="63">
          <cell r="L63" t="str">
            <v>Y</v>
          </cell>
          <cell r="U63" t="str">
            <v>Y</v>
          </cell>
          <cell r="V63" t="str">
            <v>Y</v>
          </cell>
          <cell r="AB63" t="str">
            <v>Y</v>
          </cell>
        </row>
        <row r="64">
          <cell r="L64" t="str">
            <v>Y</v>
          </cell>
          <cell r="U64" t="str">
            <v>Y</v>
          </cell>
          <cell r="V64" t="str">
            <v>Y</v>
          </cell>
          <cell r="AB64" t="str">
            <v>Y</v>
          </cell>
        </row>
        <row r="65">
          <cell r="L65" t="str">
            <v>Y</v>
          </cell>
          <cell r="U65" t="str">
            <v>Y</v>
          </cell>
          <cell r="V65" t="str">
            <v>Y</v>
          </cell>
          <cell r="AB65" t="str">
            <v>Y</v>
          </cell>
        </row>
        <row r="66">
          <cell r="L66" t="str">
            <v>Y</v>
          </cell>
          <cell r="U66" t="str">
            <v>Y</v>
          </cell>
          <cell r="V66" t="str">
            <v>Y</v>
          </cell>
          <cell r="AB66" t="str">
            <v>Y</v>
          </cell>
        </row>
        <row r="67">
          <cell r="L67" t="str">
            <v>N</v>
          </cell>
          <cell r="U67" t="str">
            <v>N</v>
          </cell>
          <cell r="V67" t="str">
            <v>N</v>
          </cell>
          <cell r="AB67" t="str">
            <v>N</v>
          </cell>
        </row>
        <row r="68">
          <cell r="L68" t="str">
            <v>Y</v>
          </cell>
          <cell r="U68" t="str">
            <v>Y</v>
          </cell>
          <cell r="V68" t="str">
            <v>Y</v>
          </cell>
          <cell r="AB68" t="str">
            <v>Y</v>
          </cell>
        </row>
        <row r="69">
          <cell r="L69" t="str">
            <v>Y</v>
          </cell>
          <cell r="U69" t="str">
            <v>N</v>
          </cell>
          <cell r="V69" t="str">
            <v>N</v>
          </cell>
          <cell r="AB69" t="str">
            <v>N</v>
          </cell>
        </row>
        <row r="70">
          <cell r="L70" t="str">
            <v>Y</v>
          </cell>
          <cell r="U70" t="str">
            <v>N</v>
          </cell>
          <cell r="V70" t="str">
            <v>N</v>
          </cell>
          <cell r="AB70" t="str">
            <v>N</v>
          </cell>
        </row>
        <row r="71">
          <cell r="L71" t="str">
            <v>Y</v>
          </cell>
          <cell r="U71" t="str">
            <v>Y</v>
          </cell>
          <cell r="V71" t="str">
            <v>Y</v>
          </cell>
          <cell r="AB71" t="str">
            <v>Y</v>
          </cell>
        </row>
        <row r="72">
          <cell r="L72" t="str">
            <v>Y</v>
          </cell>
          <cell r="U72" t="str">
            <v>Y</v>
          </cell>
          <cell r="V72" t="str">
            <v>Y</v>
          </cell>
          <cell r="AB72" t="str">
            <v>Y</v>
          </cell>
        </row>
        <row r="73">
          <cell r="L73" t="str">
            <v>Y</v>
          </cell>
          <cell r="U73" t="str">
            <v>Y</v>
          </cell>
          <cell r="V73" t="str">
            <v>Y</v>
          </cell>
          <cell r="AB73" t="str">
            <v>Y</v>
          </cell>
        </row>
        <row r="74">
          <cell r="L74" t="str">
            <v>Y</v>
          </cell>
          <cell r="U74" t="str">
            <v>Y</v>
          </cell>
          <cell r="V74" t="str">
            <v>N/A</v>
          </cell>
          <cell r="AB74" t="str">
            <v>Y</v>
          </cell>
        </row>
        <row r="75">
          <cell r="L75" t="str">
            <v>Y</v>
          </cell>
          <cell r="U75" t="str">
            <v>Y</v>
          </cell>
          <cell r="V75" t="str">
            <v>N/A</v>
          </cell>
          <cell r="AB75" t="str">
            <v>Y</v>
          </cell>
        </row>
        <row r="76">
          <cell r="L76" t="str">
            <v>Y</v>
          </cell>
          <cell r="U76" t="str">
            <v>Y</v>
          </cell>
          <cell r="V76" t="str">
            <v>Y</v>
          </cell>
          <cell r="AB76" t="str">
            <v>Y</v>
          </cell>
        </row>
        <row r="77">
          <cell r="L77" t="str">
            <v>Y</v>
          </cell>
          <cell r="U77" t="str">
            <v>Y</v>
          </cell>
          <cell r="V77" t="str">
            <v>Y</v>
          </cell>
          <cell r="AB77" t="str">
            <v>Y</v>
          </cell>
        </row>
        <row r="78">
          <cell r="L78" t="str">
            <v>Y</v>
          </cell>
          <cell r="U78" t="str">
            <v>N</v>
          </cell>
          <cell r="V78" t="str">
            <v>Y</v>
          </cell>
          <cell r="AB78" t="str">
            <v>N</v>
          </cell>
        </row>
        <row r="79">
          <cell r="L79" t="str">
            <v>Y</v>
          </cell>
          <cell r="U79" t="str">
            <v>Y</v>
          </cell>
          <cell r="V79" t="str">
            <v>Y</v>
          </cell>
          <cell r="AB79" t="str">
            <v>Y</v>
          </cell>
        </row>
        <row r="80">
          <cell r="L80" t="str">
            <v>N</v>
          </cell>
          <cell r="U80" t="str">
            <v>N</v>
          </cell>
          <cell r="V80" t="str">
            <v>Y</v>
          </cell>
          <cell r="AB80" t="str">
            <v>N</v>
          </cell>
        </row>
        <row r="81">
          <cell r="L81" t="str">
            <v>Y</v>
          </cell>
          <cell r="U81" t="str">
            <v>N</v>
          </cell>
          <cell r="V81" t="str">
            <v>Y</v>
          </cell>
          <cell r="AB81" t="str">
            <v>Y</v>
          </cell>
        </row>
        <row r="82">
          <cell r="L82" t="str">
            <v>Y</v>
          </cell>
          <cell r="U82" t="str">
            <v>Y</v>
          </cell>
          <cell r="V82" t="str">
            <v>Y</v>
          </cell>
          <cell r="AB82" t="str">
            <v>Y</v>
          </cell>
        </row>
        <row r="83">
          <cell r="L83" t="str">
            <v>Y</v>
          </cell>
          <cell r="U83" t="str">
            <v>Y</v>
          </cell>
          <cell r="V83" t="str">
            <v>Y</v>
          </cell>
          <cell r="AB83" t="str">
            <v>Y</v>
          </cell>
        </row>
        <row r="84">
          <cell r="L84" t="str">
            <v>Y</v>
          </cell>
          <cell r="U84" t="str">
            <v>Y</v>
          </cell>
          <cell r="V84" t="str">
            <v>Y</v>
          </cell>
          <cell r="AB84" t="str">
            <v>Y</v>
          </cell>
        </row>
        <row r="85">
          <cell r="L85" t="str">
            <v>Y</v>
          </cell>
          <cell r="U85" t="str">
            <v>Y</v>
          </cell>
          <cell r="V85" t="str">
            <v>NA</v>
          </cell>
          <cell r="AB85" t="str">
            <v>Y</v>
          </cell>
        </row>
        <row r="86">
          <cell r="L86" t="str">
            <v>Y</v>
          </cell>
          <cell r="U86" t="str">
            <v>Y</v>
          </cell>
          <cell r="V86" t="str">
            <v>Y</v>
          </cell>
        </row>
        <row r="87">
          <cell r="L87" t="str">
            <v>Y</v>
          </cell>
          <cell r="U87" t="str">
            <v>Y</v>
          </cell>
          <cell r="V87" t="str">
            <v>Y</v>
          </cell>
          <cell r="AB87" t="str">
            <v>Y</v>
          </cell>
        </row>
        <row r="88">
          <cell r="L88" t="str">
            <v>Y</v>
          </cell>
          <cell r="U88" t="str">
            <v>Y</v>
          </cell>
          <cell r="V88" t="str">
            <v>Y</v>
          </cell>
          <cell r="AB88" t="str">
            <v>Y</v>
          </cell>
        </row>
        <row r="89">
          <cell r="L89" t="str">
            <v>Y</v>
          </cell>
          <cell r="U89" t="str">
            <v>N</v>
          </cell>
          <cell r="V89" t="str">
            <v>NA</v>
          </cell>
          <cell r="AB89" t="str">
            <v>Y</v>
          </cell>
        </row>
        <row r="90">
          <cell r="L90" t="str">
            <v>Y</v>
          </cell>
          <cell r="U90" t="str">
            <v>Y</v>
          </cell>
          <cell r="V90" t="str">
            <v>N</v>
          </cell>
          <cell r="AB90" t="str">
            <v>Y</v>
          </cell>
        </row>
        <row r="91">
          <cell r="L91" t="str">
            <v>Y</v>
          </cell>
          <cell r="U91" t="str">
            <v> Y</v>
          </cell>
          <cell r="V91" t="str">
            <v>Y</v>
          </cell>
          <cell r="AB91" t="str">
            <v>Y</v>
          </cell>
        </row>
        <row r="92">
          <cell r="L92" t="str">
            <v>Y</v>
          </cell>
          <cell r="U92" t="str">
            <v> </v>
          </cell>
          <cell r="V92" t="str">
            <v> </v>
          </cell>
          <cell r="AB92" t="str">
            <v> </v>
          </cell>
        </row>
        <row r="93">
          <cell r="L93" t="str">
            <v>Y</v>
          </cell>
          <cell r="U93" t="str">
            <v> N</v>
          </cell>
          <cell r="V93" t="str">
            <v> N</v>
          </cell>
          <cell r="AB93" t="str">
            <v> </v>
          </cell>
        </row>
        <row r="94">
          <cell r="L94" t="str">
            <v>Y</v>
          </cell>
          <cell r="U94" t="str">
            <v> </v>
          </cell>
          <cell r="V94" t="str">
            <v> </v>
          </cell>
          <cell r="AB94" t="str">
            <v> </v>
          </cell>
        </row>
        <row r="95">
          <cell r="L95" t="str">
            <v>Y</v>
          </cell>
          <cell r="U95" t="str">
            <v>Y</v>
          </cell>
          <cell r="AB95" t="str">
            <v>Y</v>
          </cell>
        </row>
        <row r="96">
          <cell r="L96" t="str">
            <v>Y</v>
          </cell>
        </row>
        <row r="97">
          <cell r="L97" t="str">
            <v>Y</v>
          </cell>
          <cell r="U97" t="str">
            <v>N</v>
          </cell>
          <cell r="V97" t="str">
            <v>N</v>
          </cell>
          <cell r="AB97" t="str">
            <v>N</v>
          </cell>
        </row>
        <row r="98">
          <cell r="L98" t="str">
            <v>Y</v>
          </cell>
          <cell r="U98" t="str">
            <v>N</v>
          </cell>
          <cell r="V98" t="str">
            <v>N</v>
          </cell>
        </row>
        <row r="99">
          <cell r="L99" t="str">
            <v>Y</v>
          </cell>
          <cell r="U99" t="str">
            <v>N</v>
          </cell>
          <cell r="V99" t="str">
            <v>N</v>
          </cell>
          <cell r="AB99" t="str">
            <v>N</v>
          </cell>
        </row>
        <row r="100">
          <cell r="L100" t="str">
            <v>Y</v>
          </cell>
          <cell r="U100" t="str">
            <v>N</v>
          </cell>
          <cell r="V100" t="str">
            <v>N</v>
          </cell>
          <cell r="AB100" t="str">
            <v>Y</v>
          </cell>
        </row>
        <row r="101">
          <cell r="L101" t="str">
            <v>Y</v>
          </cell>
          <cell r="U101" t="str">
            <v>NA</v>
          </cell>
          <cell r="V101" t="str">
            <v>NA</v>
          </cell>
        </row>
        <row r="102">
          <cell r="L102" t="str">
            <v>Y</v>
          </cell>
          <cell r="U102" t="str">
            <v>Y</v>
          </cell>
          <cell r="V102" t="str">
            <v>Y</v>
          </cell>
          <cell r="AB102" t="str">
            <v>Y</v>
          </cell>
        </row>
        <row r="103">
          <cell r="L103" t="str">
            <v>Y</v>
          </cell>
          <cell r="U103" t="str">
            <v>N/A</v>
          </cell>
          <cell r="V103" t="str">
            <v>N/A</v>
          </cell>
          <cell r="AB103" t="str">
            <v>N</v>
          </cell>
        </row>
        <row r="104">
          <cell r="L104" t="str">
            <v>Y</v>
          </cell>
          <cell r="U104" t="str">
            <v>Y</v>
          </cell>
          <cell r="V104" t="str">
            <v>N/A</v>
          </cell>
          <cell r="AB104" t="str">
            <v>N</v>
          </cell>
        </row>
        <row r="105">
          <cell r="L105" t="str">
            <v>Y</v>
          </cell>
          <cell r="U105" t="str">
            <v>N/A</v>
          </cell>
          <cell r="V105" t="str">
            <v>N/A</v>
          </cell>
          <cell r="AB105" t="str">
            <v>Y</v>
          </cell>
        </row>
        <row r="106">
          <cell r="L106" t="str">
            <v>Y</v>
          </cell>
          <cell r="U106" t="str">
            <v>Y</v>
          </cell>
          <cell r="V106" t="str">
            <v>Y</v>
          </cell>
          <cell r="AB106" t="str">
            <v>Y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nappa Veena, Yogeetha" id="{E03165C1-E6B8-4DDB-8661-DEBA4409C543}" userId="S::yveena@deloitte.com::efff4fbf-b683-46ed-86f0-b6ee64c9634b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hankulkarni/AppData/Roaming/Microsoft/Excel/TeamTracker%20(version%201).xlsb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edeloitte.sharepoint.com/sites/GD-IndiaStrategy/Shared%20Documents/General/Resource%20Onboarding/GreenDot%20Positions%20Tracker%202025-26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hankulkarni/AppData/Roaming/Microsoft/Excel/TeamTracker%20(version%201).xlsb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hankulkarni/AppData/Roaming/Microsoft/Excel/TeamTracker%20(version%201).xlsb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ullangi, Kalyani" refreshedDate="45995.730817013886" createdVersion="8" refreshedVersion="8" minRefreshableVersion="3" recordCount="47" xr:uid="{67B6D29E-BAF9-4E2D-98CF-1646E74A8E5B}">
  <cacheSource type="worksheet">
    <worksheetSource ref="A1:AF45" sheet="Team" r:id="rId2"/>
  </cacheSource>
  <cacheFields count="18">
    <cacheField name="S.NO" numFmtId="0">
      <sharedItems containsSemiMixedTypes="0" containsString="0" containsNumber="1" containsInteger="1" minValue="1" maxValue="47"/>
    </cacheField>
    <cacheField name="Name" numFmtId="0">
      <sharedItems/>
    </cacheField>
    <cacheField name="Email" numFmtId="0">
      <sharedItems containsBlank="1"/>
    </cacheField>
    <cacheField name="Location" numFmtId="0">
      <sharedItems/>
    </cacheField>
    <cacheField name="Joined" numFmtId="0">
      <sharedItems containsBlank="1" count="3">
        <s v="Y"/>
        <s v="N"/>
        <m u="1"/>
      </sharedItems>
    </cacheField>
    <cacheField name="Job Family" numFmtId="0">
      <sharedItems containsBlank="1" count="17">
        <s v=".Net"/>
        <s v="ETL"/>
        <s v="Android"/>
        <s v="SRE"/>
        <s v="iOS"/>
        <s v="CRM"/>
        <s v="IT Infrastructure"/>
        <s v="RE"/>
        <s v="Scrum Master"/>
        <s v="Web Engineer"/>
        <s v="DBA"/>
        <s v="IVR"/>
        <s v="DBE"/>
        <s v="Other candidate" u="1"/>
        <s v="SDET" u="1"/>
        <m u="1"/>
        <s v="Not found in tracker" u="1"/>
      </sharedItems>
    </cacheField>
    <cacheField name="GD Leader" numFmtId="0">
      <sharedItems/>
    </cacheField>
    <cacheField name="Project Area" numFmtId="0">
      <sharedItems containsBlank="1"/>
    </cacheField>
    <cacheField name="Client KT/Delivery" numFmtId="0">
      <sharedItems containsBlank="1" count="4">
        <s v="In Progress"/>
        <s v="Not Started"/>
        <s v="Completed"/>
        <m u="1"/>
      </sharedItems>
    </cacheField>
    <cacheField name="Project delivery started" numFmtId="0">
      <sharedItems/>
    </cacheField>
    <cacheField name="SciForma Access" numFmtId="0">
      <sharedItems/>
    </cacheField>
    <cacheField name="Tool Access Completed" numFmtId="0">
      <sharedItems containsBlank="1"/>
    </cacheField>
    <cacheField name="Datadog (Y/N)" numFmtId="0">
      <sharedItems/>
    </cacheField>
    <cacheField name="AKS Trained (Y/N)" numFmtId="0">
      <sharedItems count="3">
        <s v="Y"/>
        <s v="N/A"/>
        <s v="N"/>
      </sharedItems>
    </cacheField>
    <cacheField name="Co-Pilot Trained (Y/N)" numFmtId="0">
      <sharedItems/>
    </cacheField>
    <cacheField name="Client Compliance Trainings" numFmtId="0">
      <sharedItems/>
    </cacheField>
    <cacheField name="Onborading Date" numFmtId="0">
      <sharedItems containsNonDate="0" containsDate="1" containsString="0" containsBlank="1" minDate="2025-08-25T00:00:00" maxDate="2025-12-02T00:00:00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 pivotCacheId="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yadev, Poornima" refreshedDate="45971.619238541665" createdVersion="8" refreshedVersion="8" minRefreshableVersion="3" recordCount="64" xr:uid="{FC4CAF95-0599-45E1-9C81-E228A0192039}">
  <cacheSource type="worksheet">
    <worksheetSource ref="A20:AD82" sheet="VDI tracker" r:id="rId2"/>
  </cacheSource>
  <cacheFields count="30">
    <cacheField name="Name" numFmtId="0">
      <sharedItems containsBlank="1"/>
    </cacheField>
    <cacheField name="Email (only Deloitte email)" numFmtId="0">
      <sharedItems containsBlank="1"/>
    </cacheField>
    <cacheField name="Status" numFmtId="0">
      <sharedItems containsBlank="1"/>
    </cacheField>
    <cacheField name="Location" numFmtId="0">
      <sharedItems containsBlank="1" count="4">
        <s v="India"/>
        <s v="US"/>
        <s v="ADMX"/>
        <m/>
      </sharedItems>
    </cacheField>
    <cacheField name="Potential Start Date" numFmtId="0">
      <sharedItems containsNonDate="0" containsDate="1" containsString="0" containsBlank="1" minDate="2025-08-25T00:00:00" maxDate="2025-11-22T00:00:00"/>
    </cacheField>
    <cacheField name="City" numFmtId="0">
      <sharedItems containsBlank="1" containsMixedTypes="1" containsNumber="1" containsInteger="1" minValue="0" maxValue="0" count="18">
        <s v="Hyderabad"/>
        <s v="Gilbert, AZ"/>
        <s v="Bangalore"/>
        <s v="Kolkata"/>
        <s v="Mumbai"/>
        <s v="Gurgaon"/>
        <s v="Guadalajara"/>
        <s v="Texas"/>
        <s v="Chennai"/>
        <s v="Navarre, FL"/>
        <s v="Florida"/>
        <s v="IL"/>
        <s v="Pune"/>
        <s v="CDMX"/>
        <s v="Queretaro"/>
        <m/>
        <s v="Monterrey"/>
        <n v="0" u="1"/>
      </sharedItems>
    </cacheField>
    <cacheField name="Phone Number" numFmtId="0">
      <sharedItems containsBlank="1" containsMixedTypes="1" containsNumber="1" containsInteger="1" minValue="7023147061" maxValue="9866589858"/>
    </cacheField>
    <cacheField name="Phone Device Type" numFmtId="0">
      <sharedItems containsBlank="1"/>
    </cacheField>
    <cacheField name="BGC received?" numFmtId="0">
      <sharedItems containsBlank="1" count="4">
        <s v="Yes"/>
        <s v="Partial"/>
        <s v="No"/>
        <m/>
      </sharedItems>
    </cacheField>
    <cacheField name="Sent to" numFmtId="0">
      <sharedItems containsBlank="1"/>
    </cacheField>
    <cacheField name="Interview Date" numFmtId="0">
      <sharedItems containsNonDate="0" containsDate="1" containsString="0" containsBlank="1" minDate="1899-12-30T00:00:00" maxDate="2025-11-08T00:00:00"/>
    </cacheField>
    <cacheField name="Sent Date" numFmtId="0">
      <sharedItems containsNonDate="0" containsDate="1" containsString="0" containsBlank="1" minDate="2025-08-13T00:00:00" maxDate="2025-11-05T00:00:00"/>
    </cacheField>
    <cacheField name="VDI ticket" numFmtId="0">
      <sharedItems containsBlank="1"/>
    </cacheField>
    <cacheField name="VDI Credentials Recd." numFmtId="0">
      <sharedItems containsBlank="1"/>
    </cacheField>
    <cacheField name="Access Granted" numFmtId="0">
      <sharedItems containsNonDate="0" containsDate="1" containsString="0" containsBlank="1" minDate="2025-08-25T00:00:00" maxDate="2025-11-05T00:00:00"/>
    </cacheField>
    <cacheField name="Days internal to Send" numFmtId="0">
      <sharedItems containsString="0" containsBlank="1" containsNumber="1" containsInteger="1" minValue="0" maxValue="47"/>
    </cacheField>
    <cacheField name="Days to complete" numFmtId="0">
      <sharedItems containsBlank="1" containsMixedTypes="1" containsNumber="1" containsInteger="1" minValue="3" maxValue="33"/>
    </cacheField>
    <cacheField name="Deloitte Level" numFmtId="0">
      <sharedItems containsBlank="1"/>
    </cacheField>
    <cacheField name="GD Leader" numFmtId="0">
      <sharedItems containsBlank="1"/>
    </cacheField>
    <cacheField name="Profile" numFmtId="0">
      <sharedItems containsBlank="1"/>
    </cacheField>
    <cacheField name="Client Level" numFmtId="0">
      <sharedItems containsBlank="1"/>
    </cacheField>
    <cacheField name="BGV Contact" numFmtId="0">
      <sharedItems containsNonDate="0" containsString="0" containsBlank="1"/>
    </cacheField>
    <cacheField name="Job Family" numFmtId="0">
      <sharedItems containsBlank="1"/>
    </cacheField>
    <cacheField name="Priority" numFmtId="0">
      <sharedItems containsBlank="1"/>
    </cacheField>
    <cacheField name="Report Status" numFmtId="0">
      <sharedItems containsBlank="1"/>
    </cacheField>
    <cacheField name="Client Workstarted? (Y/N)" numFmtId="0">
      <sharedItems containsNonDate="0" containsString="0" containsBlank="1"/>
    </cacheField>
    <cacheField name="Client Lead Name" numFmtId="0">
      <sharedItems containsBlank="1"/>
    </cacheField>
    <cacheField name="Client Lead email" numFmtId="0">
      <sharedItems containsBlank="1"/>
    </cacheField>
    <cacheField name="GD Email" numFmtId="0">
      <sharedItems containsBlank="1"/>
    </cacheField>
    <cacheField name="Onboarding Date" numFmtId="0">
      <sharedItems containsNonDate="0" containsDate="1" containsString="0" containsBlank="1" minDate="2025-08-25T00:00:00" maxDate="2025-11-22T00:00: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30.509656134258" createdVersion="8" refreshedVersion="8" minRefreshableVersion="3" recordCount="1048273" xr:uid="{731FB0DC-AC1F-4CBB-B924-EFD8107887DC}">
  <cacheSource type="worksheet">
    <worksheetSource ref="D1:H1048576" sheet="Team" r:id="rId2"/>
  </cacheSource>
  <cacheFields count="5">
    <cacheField name="Location" numFmtId="0">
      <sharedItems containsBlank="1" count="2">
        <s v="India"/>
        <m/>
      </sharedItems>
    </cacheField>
    <cacheField name="Active/Inactive" numFmtId="0">
      <sharedItems containsBlank="1" count="5">
        <s v="Inactive"/>
        <s v="Active"/>
        <s v="Active "/>
        <m/>
        <s v="To be onboarded" u="1"/>
      </sharedItems>
    </cacheField>
    <cacheField name="Expansion" numFmtId="0">
      <sharedItems containsBlank="1"/>
    </cacheField>
    <cacheField name="City" numFmtId="0">
      <sharedItems containsBlank="1" count="10">
        <s v="Chennai"/>
        <s v="Hyderabad"/>
        <s v="Bengaluru"/>
        <s v="Kolkata"/>
        <s v="Mumbai"/>
        <s v="Gurgaon"/>
        <s v="Pune"/>
        <s v="Noida"/>
        <m/>
        <s v="Bangalore" u="1"/>
      </sharedItems>
    </cacheField>
    <cacheField name="Level - Original" numFmtId="0">
      <sharedItems containsBlank="1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39.561342476853" createdVersion="8" refreshedVersion="8" minRefreshableVersion="3" recordCount="105" xr:uid="{4C913D2F-BA8A-4954-8B2B-5987DAB78C57}">
  <cacheSource type="worksheet">
    <worksheetSource ref="A1:AK106" sheet="Team" r:id="rId2"/>
  </cacheSource>
  <cacheFields count="37">
    <cacheField name="Sl. No." numFmtId="0">
      <sharedItems containsSemiMixedTypes="0" containsString="0" containsNumber="1" containsInteger="1" minValue="1" maxValue="108"/>
    </cacheField>
    <cacheField name="Name" numFmtId="0">
      <sharedItems/>
    </cacheField>
    <cacheField name="Email" numFmtId="0">
      <sharedItems containsBlank="1"/>
    </cacheField>
    <cacheField name="Location" numFmtId="0">
      <sharedItems/>
    </cacheField>
    <cacheField name="Active/Inactive" numFmtId="0">
      <sharedItems count="3">
        <s v="Inactive"/>
        <s v="Active"/>
        <s v="Active "/>
      </sharedItems>
    </cacheField>
    <cacheField name="Expansion" numFmtId="0">
      <sharedItems/>
    </cacheField>
    <cacheField name="City" numFmtId="0">
      <sharedItems/>
    </cacheField>
    <cacheField name="Level - Original" numFmtId="0">
      <sharedItems/>
    </cacheField>
    <cacheField name="Level" numFmtId="0">
      <sharedItems count="12">
        <s v="Sr Consultant"/>
        <s v="Consultant"/>
        <s v="Analyst"/>
        <s v="DSA - Sr Consultant"/>
        <s v="CTH"/>
        <s v="DSA - Consultant"/>
        <s v="Manager"/>
        <s v="DSA - External"/>
        <s v="DSA-External"/>
        <s v="DSA Consultant"/>
        <s v="DSA-Consultant"/>
        <s v="DSA-Senior Consultant"/>
      </sharedItems>
    </cacheField>
    <cacheField name="Client Level" numFmtId="0">
      <sharedItems containsBlank="1"/>
    </cacheField>
    <cacheField name="Onboarding Date" numFmtId="0">
      <sharedItems containsNonDate="0" containsDate="1" containsString="0" containsBlank="1" minDate="2025-04-15T00:00:00" maxDate="2026-12-24T00:00:00"/>
    </cacheField>
    <cacheField name="Joined" numFmtId="0">
      <sharedItems/>
    </cacheField>
    <cacheField name="Job Family" numFmtId="0">
      <sharedItems/>
    </cacheField>
    <cacheField name="GD Leader 1" numFmtId="0">
      <sharedItems/>
    </cacheField>
    <cacheField name="GD Leader 2" numFmtId="0">
      <sharedItems containsBlank="1"/>
    </cacheField>
    <cacheField name="GD Leader 3" numFmtId="0">
      <sharedItems containsBlank="1"/>
    </cacheField>
    <cacheField name="Project" numFmtId="0">
      <sharedItems containsBlank="1"/>
    </cacheField>
    <cacheField name="Client KT/Delivery" numFmtId="0">
      <sharedItems containsBlank="1"/>
    </cacheField>
    <cacheField name="Project delivery started" numFmtId="0">
      <sharedItems containsBlank="1"/>
    </cacheField>
    <cacheField name="Tool Access Completed" numFmtId="0">
      <sharedItems containsBlank="1"/>
    </cacheField>
    <cacheField name="Datadog (Y/N)" numFmtId="0">
      <sharedItems containsBlank="1"/>
    </cacheField>
    <cacheField name="AKS Trained (Y/N)" numFmtId="0">
      <sharedItems containsBlank="1"/>
    </cacheField>
    <cacheField name="ROVO(Y/N)" numFmtId="0">
      <sharedItems containsBlank="1"/>
    </cacheField>
    <cacheField name="Claude Code Dev Day Tasks" numFmtId="0">
      <sharedItems containsBlank="1"/>
    </cacheField>
    <cacheField name="AI Fluency: Framework &amp; Foundations" numFmtId="0">
      <sharedItems containsBlank="1"/>
    </cacheField>
    <cacheField name="Claude 101" numFmtId="0">
      <sharedItems containsBlank="1"/>
    </cacheField>
    <cacheField name="Any other AI Certificaion" numFmtId="0">
      <sharedItems containsBlank="1"/>
    </cacheField>
    <cacheField name="Co-Pilot Trained (Y/N)" numFmtId="0">
      <sharedItems containsBlank="1"/>
    </cacheField>
    <cacheField name="Client Compliance Trainings" numFmtId="0">
      <sharedItems containsBlank="1"/>
    </cacheField>
    <cacheField name="SciForma Access" numFmtId="0">
      <sharedItems containsBlank="1"/>
    </cacheField>
    <cacheField name="Onboarding Date2" numFmtId="0">
      <sharedItems containsDate="1" containsBlank="1" containsMixedTypes="1" minDate="2025-04-15T00:00:00" maxDate="2026-12-24T00:00:00"/>
    </cacheField>
    <cacheField name="Comments" numFmtId="0">
      <sharedItems containsBlank="1"/>
    </cacheField>
    <cacheField name="Offboarding Date" numFmtId="0">
      <sharedItems containsDate="1" containsBlank="1" containsMixedTypes="1" minDate="2026-01-16T00:00:00" maxDate="2026-08-04T00:00:00"/>
    </cacheField>
    <cacheField name="Mobile Number " numFmtId="0">
      <sharedItems containsMixedTypes="1" containsNumber="1" containsInteger="1" minValue="6293036694" maxValue="9994337872"/>
    </cacheField>
    <cacheField name="Field35" caption="Field35" numFmtId="0">
      <sharedItems containsBlank="1"/>
    </cacheField>
    <cacheField name="Field36" caption="Field36" numFmtId="0">
      <sharedItems containsBlank="1"/>
    </cacheField>
    <cacheField name="Field37" caption="Field37" numFmtId="0">
      <sharedItems containsBlank="1"/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Cache/pivotCacheRecords2.xml><?xml version="1.0" encoding="utf-8"?>
<pivotCacheRecords xmlns="http://schemas.openxmlformats.org/spreadsheetml/2006/main" xmlns:r="http://schemas.openxmlformats.org/officeDocument/2006/relationships" count="0"/>
</file>

<file path=xl/pivotCache/pivotCacheRecords3.xml><?xml version="1.0" encoding="utf-8"?>
<pivotCacheRecords xmlns="http://schemas.openxmlformats.org/spreadsheetml/2006/main" xmlns:r="http://schemas.openxmlformats.org/officeDocument/2006/relationships" count="0"/>
</file>

<file path=xl/pivotCache/pivotCacheRecords4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2C43C-8246-4EC2-A258-48BB4CDE7E1C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1" firstHeaderRow="1" firstDataRow="2" firstDataCol="1"/>
  <pivotFields count="5">
    <pivotField axis="axisRow" showAll="0">
      <items count="3">
        <item x="0"/>
        <item x="1"/>
        <item t="default"/>
      </items>
    </pivotField>
    <pivotField axis="axisCol" showAll="0">
      <items count="6">
        <item x="1"/>
        <item h="1" x="0"/>
        <item h="1" m="1" x="4"/>
        <item h="1" x="3"/>
        <item h="1" x="2"/>
        <item t="default"/>
      </items>
    </pivotField>
    <pivotField showAll="0"/>
    <pivotField axis="axisRow" showAll="0">
      <items count="11">
        <item m="1" x="9"/>
        <item x="2"/>
        <item x="0"/>
        <item x="5"/>
        <item x="1"/>
        <item x="3"/>
        <item x="4"/>
        <item x="7"/>
        <item x="6"/>
        <item x="8"/>
        <item t="default"/>
      </items>
    </pivotField>
    <pivotField dataField="1" showAll="0"/>
  </pivotFields>
  <rowFields count="2">
    <field x="0"/>
    <field x="3"/>
  </rowFields>
  <colFields count="1">
    <field x="1"/>
  </colFields>
  <dataFields count="1">
    <dataField name="Count of Level - Original" fld="4" subtotal="count" baseField="0" baseItem="0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0152F-0BF3-438D-8873-7B445913609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7" firstHeaderRow="1" firstDataRow="2" firstDataCol="1"/>
  <pivotFields count="18">
    <pivotField showAll="0"/>
    <pivotField dataField="1" showAll="0"/>
    <pivotField showAll="0"/>
    <pivotField showAll="0"/>
    <pivotField axis="axisCol" showAll="0">
      <items count="4">
        <item x="1"/>
        <item x="0"/>
        <item m="1" x="2"/>
        <item t="default"/>
      </items>
    </pivotField>
    <pivotField axis="axisRow" showAll="0">
      <items count="18">
        <item x="0"/>
        <item x="2"/>
        <item x="5"/>
        <item x="1"/>
        <item x="4"/>
        <item x="6"/>
        <item m="1" x="16"/>
        <item x="7"/>
        <item x="8"/>
        <item m="1" x="14"/>
        <item x="3"/>
        <item x="9"/>
        <item m="1" x="15"/>
        <item m="1" x="13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colFields count="1">
    <field x="4"/>
  </colFields>
  <dataFields count="1">
    <dataField name="Count of Name" fld="1" subtotal="count" baseField="0" baseItem="0"/>
  </dataFields>
  <formats count="10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4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5" type="button" dataOnly="0" labelOnly="1" outline="0" axis="axisRow" fieldPosition="0"/>
    </format>
    <format dxfId="19">
      <pivotArea dataOnly="0" labelOnly="1" fieldPosition="0">
        <references count="1">
          <reference field="5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4" count="0"/>
        </references>
      </pivotArea>
    </format>
    <format dxfId="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A4149-0E05-4180-8484-88A33678FB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E38" firstHeaderRow="1" firstDataRow="2" firstDataCol="1"/>
  <pivotFields count="18">
    <pivotField showAll="0"/>
    <pivotField dataField="1" showAll="0"/>
    <pivotField showAll="0"/>
    <pivotField showAll="0"/>
    <pivotField showAll="0">
      <items count="4">
        <item x="1"/>
        <item x="0"/>
        <item m="1" x="2"/>
        <item t="default"/>
      </items>
    </pivotField>
    <pivotField axis="axisRow" showAll="0">
      <items count="18">
        <item x="0"/>
        <item x="2"/>
        <item x="5"/>
        <item x="1"/>
        <item x="4"/>
        <item x="6"/>
        <item m="1" x="16"/>
        <item x="7"/>
        <item x="8"/>
        <item m="1" x="14"/>
        <item x="3"/>
        <item x="9"/>
        <item m="1" x="15"/>
        <item m="1" x="13"/>
        <item x="10"/>
        <item x="11"/>
        <item x="12"/>
        <item t="default"/>
      </items>
    </pivotField>
    <pivotField showAll="0"/>
    <pivotField showAll="0"/>
    <pivotField axis="axisCol" showAll="0">
      <items count="5">
        <item x="0"/>
        <item x="1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colFields count="1">
    <field x="8"/>
  </colFields>
  <dataFields count="1">
    <dataField name="Count of Name" fld="1" subtotal="count" baseField="0" baseItem="0"/>
  </dataFields>
  <formats count="9"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4" type="button" dataOnly="0" labelOnly="1" outline="0"/>
    </format>
    <format dxfId="30">
      <pivotArea type="topRight" dataOnly="0" labelOnly="1" outline="0" fieldPosition="0"/>
    </format>
    <format dxfId="29">
      <pivotArea field="5" type="button" dataOnly="0" labelOnly="1" outline="0" axis="axisRow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grandRow="1" outline="0" fieldPosition="0"/>
    </format>
    <format dxfId="2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3A7DE-9201-4E1B-B165-09BBC2FC53F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F56" firstHeaderRow="1" firstDataRow="2" firstDataCol="1"/>
  <pivotFields count="30">
    <pivotField dataField="1"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>
      <items count="19">
        <item m="1" x="17"/>
        <item x="2"/>
        <item x="13"/>
        <item x="8"/>
        <item x="10"/>
        <item x="1"/>
        <item x="6"/>
        <item x="5"/>
        <item x="0"/>
        <item x="11"/>
        <item x="3"/>
        <item x="16"/>
        <item x="4"/>
        <item x="9"/>
        <item x="12"/>
        <item x="14"/>
        <item x="7"/>
        <item x="15"/>
        <item t="default"/>
      </items>
    </pivotField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colFields count="1">
    <field x="3"/>
  </colField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EF034-6C39-4528-AA56-4CC8CE7F55D5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37">
    <pivotField showAll="0"/>
    <pivotField showAll="0"/>
    <pivotField dataField="1"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Row" showAll="0">
      <items count="13">
        <item x="2"/>
        <item x="1"/>
        <item x="4"/>
        <item x="5"/>
        <item x="7"/>
        <item x="3"/>
        <item x="9"/>
        <item x="10"/>
        <item x="8"/>
        <item x="11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pageFields count="1">
    <pageField fld="4" hier="-1"/>
  </pageFields>
  <dataFields count="1">
    <dataField name="Count of Email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39" dT="2026-07-20T10:39:14.64" personId="{E03165C1-E6B8-4DDB-8661-DEBA4409C543}" id="{A76EB6EC-838A-4804-B11A-4B53BE1844C8}">
    <text>Completed AI anthropic training</text>
  </threadedComment>
  <threadedComment ref="Y40" dT="2026-07-20T10:39:14.64" personId="{E03165C1-E6B8-4DDB-8661-DEBA4409C543}" id="{A76EB6EC-838A-4806-B11A-4B53BE1844C8}">
    <text>Completed AI anthropic training</text>
  </threadedComment>
  <threadedComment ref="Y41" dT="2026-07-20T10:39:14.64" personId="{E03165C1-E6B8-4DDB-8661-DEBA4409C543}" id="{A76EB6EC-838A-4805-B11A-4B53BE1844C8}">
    <text>Completed AI anthropic training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5" dT="2026-04-03T13:04:58.00" personId="{E03165C1-E6B8-4DDB-8661-DEBA4409C543}" id="{E8742F7E-8B8E-40B8-88FA-1BF58FA61E56}">
    <text>Connect with GD onshore team</text>
  </threadedComment>
  <threadedComment ref="K16" dT="2026-04-03T13:14:15.55" personId="{E03165C1-E6B8-4DDB-8661-DEBA4409C543}" id="{2B8B1264-9F08-40E1-9040-B79527887B45}">
    <text>8:30 AM to 9: 00 AM PST with onshore Deloitte conterparts Gerardo,Prathyusha .Mon,Tue,Thu,Fri</text>
  </threadedComment>
  <threadedComment ref="K17" dT="2026-04-03T13:25:25.59" personId="{E03165C1-E6B8-4DDB-8661-DEBA4409C543}" id="{B23C388E-2E4B-496D-A7D5-EFA61D303073}">
    <text>Previously these calls were scheduled. It was cancelled due to time constraints. Currently, 1 separate call with onshore Deloitte team is scheduled Weekly (on Wednesday)but Sean from GD joins this call, along with Souwmya, Daniel</text>
  </threadedComment>
  <threadedComment ref="K22" dT="2026-04-03T13:14:55.32" personId="{E03165C1-E6B8-4DDB-8661-DEBA4409C543}" id="{6A7DE910-52BF-4905-9039-3376F875BE51}">
    <text>Tech Sync calls are there with onshore GD teams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madiya@deloitte.com" TargetMode="External"/><Relationship Id="rId21" Type="http://schemas.openxmlformats.org/officeDocument/2006/relationships/hyperlink" Target="mailto:kolmanojkumar@deloitte.com" TargetMode="External"/><Relationship Id="rId42" Type="http://schemas.openxmlformats.org/officeDocument/2006/relationships/hyperlink" Target="mailto:sudhgiri@deloitte.com" TargetMode="External"/><Relationship Id="rId47" Type="http://schemas.openxmlformats.org/officeDocument/2006/relationships/hyperlink" Target="mailto:vekiran@deloitte.com" TargetMode="External"/><Relationship Id="rId63" Type="http://schemas.openxmlformats.org/officeDocument/2006/relationships/hyperlink" Target="mailto:MANASM@DELOITTE.COM" TargetMode="External"/><Relationship Id="rId68" Type="http://schemas.openxmlformats.org/officeDocument/2006/relationships/hyperlink" Target="mailto:pkammeta@deloitte.com" TargetMode="External"/><Relationship Id="rId84" Type="http://schemas.openxmlformats.org/officeDocument/2006/relationships/hyperlink" Target="mailto:vmendhe@deloitte.com" TargetMode="External"/><Relationship Id="rId89" Type="http://schemas.openxmlformats.org/officeDocument/2006/relationships/hyperlink" Target="mailto:shivshlnu@deloitte.com" TargetMode="External"/><Relationship Id="rId16" Type="http://schemas.openxmlformats.org/officeDocument/2006/relationships/hyperlink" Target="mailto:srmula@deloitte.com" TargetMode="External"/><Relationship Id="rId11" Type="http://schemas.openxmlformats.org/officeDocument/2006/relationships/hyperlink" Target="mailto:pefernandes@deloitte.com" TargetMode="External"/><Relationship Id="rId32" Type="http://schemas.openxmlformats.org/officeDocument/2006/relationships/hyperlink" Target="mailto:puru@deloitte.com" TargetMode="External"/><Relationship Id="rId37" Type="http://schemas.openxmlformats.org/officeDocument/2006/relationships/hyperlink" Target="mailto:depandit@deloitte.com" TargetMode="External"/><Relationship Id="rId53" Type="http://schemas.openxmlformats.org/officeDocument/2006/relationships/hyperlink" Target="mailto:shilpab6@deloitte.com" TargetMode="External"/><Relationship Id="rId58" Type="http://schemas.openxmlformats.org/officeDocument/2006/relationships/hyperlink" Target="mailto:abinec@deloitte.com" TargetMode="External"/><Relationship Id="rId74" Type="http://schemas.openxmlformats.org/officeDocument/2006/relationships/hyperlink" Target="mailto:rohankulkarni@deloitte.com" TargetMode="External"/><Relationship Id="rId79" Type="http://schemas.openxmlformats.org/officeDocument/2006/relationships/hyperlink" Target="mailto:bansahith@deloitte.com" TargetMode="External"/><Relationship Id="rId5" Type="http://schemas.openxmlformats.org/officeDocument/2006/relationships/hyperlink" Target="mailto:devaksahu@deloitte.com" TargetMode="External"/><Relationship Id="rId90" Type="http://schemas.openxmlformats.org/officeDocument/2006/relationships/hyperlink" Target="mailto:wharidas@deloitte.com" TargetMode="External"/><Relationship Id="rId95" Type="http://schemas.openxmlformats.org/officeDocument/2006/relationships/comments" Target="../comments1.xml"/><Relationship Id="rId22" Type="http://schemas.openxmlformats.org/officeDocument/2006/relationships/hyperlink" Target="mailto:harshsahu@deloitte.com" TargetMode="External"/><Relationship Id="rId27" Type="http://schemas.openxmlformats.org/officeDocument/2006/relationships/hyperlink" Target="mailto:posrikanth@deloitte.com" TargetMode="External"/><Relationship Id="rId43" Type="http://schemas.openxmlformats.org/officeDocument/2006/relationships/hyperlink" Target="mailto:bolrajesh@deloitte.com" TargetMode="External"/><Relationship Id="rId48" Type="http://schemas.openxmlformats.org/officeDocument/2006/relationships/hyperlink" Target="mailto:ttaraphdar@deloitte.com" TargetMode="External"/><Relationship Id="rId64" Type="http://schemas.openxmlformats.org/officeDocument/2006/relationships/hyperlink" Target="mailto:VIKUMAR36@DELOITTE.COM" TargetMode="External"/><Relationship Id="rId69" Type="http://schemas.openxmlformats.org/officeDocument/2006/relationships/hyperlink" Target="mailto:npmuttagi@deloitte.com" TargetMode="External"/><Relationship Id="rId8" Type="http://schemas.openxmlformats.org/officeDocument/2006/relationships/hyperlink" Target="mailto:amayuri@deloitte.com" TargetMode="External"/><Relationship Id="rId51" Type="http://schemas.openxmlformats.org/officeDocument/2006/relationships/hyperlink" Target="mailto:nkumar93@deloitte.com" TargetMode="External"/><Relationship Id="rId72" Type="http://schemas.openxmlformats.org/officeDocument/2006/relationships/hyperlink" Target="mailto:ananylnu@deloitte.com" TargetMode="External"/><Relationship Id="rId80" Type="http://schemas.openxmlformats.org/officeDocument/2006/relationships/hyperlink" Target="mailto:ragha@deloitte.com" TargetMode="External"/><Relationship Id="rId85" Type="http://schemas.openxmlformats.org/officeDocument/2006/relationships/hyperlink" Target="mailto:shemehra@deloitte.com" TargetMode="External"/><Relationship Id="rId93" Type="http://schemas.openxmlformats.org/officeDocument/2006/relationships/hyperlink" Target="mailto:plakshmisrujana@deloitte.com" TargetMode="External"/><Relationship Id="rId3" Type="http://schemas.openxmlformats.org/officeDocument/2006/relationships/hyperlink" Target="mailto:abirudugadda@deloitte.com" TargetMode="External"/><Relationship Id="rId12" Type="http://schemas.openxmlformats.org/officeDocument/2006/relationships/hyperlink" Target="mailto:rchinnasamy@deloitte.com" TargetMode="External"/><Relationship Id="rId17" Type="http://schemas.openxmlformats.org/officeDocument/2006/relationships/hyperlink" Target="mailto:rraghuwanshi@deloitte.com" TargetMode="External"/><Relationship Id="rId25" Type="http://schemas.openxmlformats.org/officeDocument/2006/relationships/hyperlink" Target="mailto:kmullangi@deloitte.com" TargetMode="External"/><Relationship Id="rId33" Type="http://schemas.openxmlformats.org/officeDocument/2006/relationships/hyperlink" Target="mailto:sangch@deloitte.com" TargetMode="External"/><Relationship Id="rId38" Type="http://schemas.openxmlformats.org/officeDocument/2006/relationships/hyperlink" Target="mailto:sramameriakhatik@deloitte.com" TargetMode="External"/><Relationship Id="rId46" Type="http://schemas.openxmlformats.org/officeDocument/2006/relationships/hyperlink" Target="mailto:saingiri@deloitte.com" TargetMode="External"/><Relationship Id="rId59" Type="http://schemas.openxmlformats.org/officeDocument/2006/relationships/hyperlink" Target="mailto:anirubharti@deloitte.com" TargetMode="External"/><Relationship Id="rId67" Type="http://schemas.openxmlformats.org/officeDocument/2006/relationships/hyperlink" Target="mailto:vbuthala@deloitte.com" TargetMode="External"/><Relationship Id="rId20" Type="http://schemas.openxmlformats.org/officeDocument/2006/relationships/hyperlink" Target="mailto:dmahesh@deloitte.com" TargetMode="External"/><Relationship Id="rId41" Type="http://schemas.openxmlformats.org/officeDocument/2006/relationships/hyperlink" Target="mailto:yveena@deloitte.com" TargetMode="External"/><Relationship Id="rId54" Type="http://schemas.openxmlformats.org/officeDocument/2006/relationships/hyperlink" Target="mailto:visviswanathan@deloitte.com" TargetMode="External"/><Relationship Id="rId62" Type="http://schemas.openxmlformats.org/officeDocument/2006/relationships/hyperlink" Target="mailto:MOHIS@DELOITTE.COM" TargetMode="External"/><Relationship Id="rId70" Type="http://schemas.openxmlformats.org/officeDocument/2006/relationships/hyperlink" Target="mailto:SMONAGONI@DELOITTE.COM" TargetMode="External"/><Relationship Id="rId75" Type="http://schemas.openxmlformats.org/officeDocument/2006/relationships/hyperlink" Target="mailto:skalyankumar@deloitte.com" TargetMode="External"/><Relationship Id="rId83" Type="http://schemas.openxmlformats.org/officeDocument/2006/relationships/hyperlink" Target="mailto:srichs@deloitte.com" TargetMode="External"/><Relationship Id="rId88" Type="http://schemas.openxmlformats.org/officeDocument/2006/relationships/hyperlink" Target="mailto:gbusam@deloitte.com" TargetMode="External"/><Relationship Id="rId91" Type="http://schemas.openxmlformats.org/officeDocument/2006/relationships/hyperlink" Target="mailto:vikrrana@deloitte.com" TargetMode="External"/><Relationship Id="rId96" Type="http://schemas.microsoft.com/office/2017/10/relationships/threadedComment" Target="../threadedComments/threadedComment1.xml"/><Relationship Id="rId1" Type="http://schemas.openxmlformats.org/officeDocument/2006/relationships/hyperlink" Target="mailto:ritaj9@deloitte.com" TargetMode="External"/><Relationship Id="rId6" Type="http://schemas.openxmlformats.org/officeDocument/2006/relationships/hyperlink" Target="mailto:haripm@deloitte.com" TargetMode="External"/><Relationship Id="rId15" Type="http://schemas.openxmlformats.org/officeDocument/2006/relationships/hyperlink" Target="mailto:baykartheek@deloitte.com" TargetMode="External"/><Relationship Id="rId23" Type="http://schemas.openxmlformats.org/officeDocument/2006/relationships/hyperlink" Target="mailto:mswamyrajesh@deloitte.com" TargetMode="External"/><Relationship Id="rId28" Type="http://schemas.openxmlformats.org/officeDocument/2006/relationships/hyperlink" Target="mailto:chetarora@deloitte.com" TargetMode="External"/><Relationship Id="rId36" Type="http://schemas.openxmlformats.org/officeDocument/2006/relationships/hyperlink" Target="mailto:rechaubey@deloitte.com" TargetMode="External"/><Relationship Id="rId49" Type="http://schemas.openxmlformats.org/officeDocument/2006/relationships/hyperlink" Target="mailto:yogendyadav@deloitte.com" TargetMode="External"/><Relationship Id="rId57" Type="http://schemas.openxmlformats.org/officeDocument/2006/relationships/hyperlink" Target="mailto:dvenkataramanaiah@deloitte.com" TargetMode="External"/><Relationship Id="rId10" Type="http://schemas.openxmlformats.org/officeDocument/2006/relationships/hyperlink" Target="mailto:agajarlawar@deloitte.com" TargetMode="External"/><Relationship Id="rId31" Type="http://schemas.openxmlformats.org/officeDocument/2006/relationships/hyperlink" Target="mailto:sindhr@deloitte.com" TargetMode="External"/><Relationship Id="rId44" Type="http://schemas.openxmlformats.org/officeDocument/2006/relationships/hyperlink" Target="mailto:graosahebmunde@deloitte.com" TargetMode="External"/><Relationship Id="rId52" Type="http://schemas.openxmlformats.org/officeDocument/2006/relationships/hyperlink" Target="mailto:sandejoshi@deloitte.com" TargetMode="External"/><Relationship Id="rId60" Type="http://schemas.openxmlformats.org/officeDocument/2006/relationships/hyperlink" Target="mailto:aanvikar@deloitte.com" TargetMode="External"/><Relationship Id="rId65" Type="http://schemas.openxmlformats.org/officeDocument/2006/relationships/hyperlink" Target="mailto:swalecha@deloitte.com" TargetMode="External"/><Relationship Id="rId73" Type="http://schemas.openxmlformats.org/officeDocument/2006/relationships/hyperlink" Target="mailto:tjagapathi@deloitte.com" TargetMode="External"/><Relationship Id="rId78" Type="http://schemas.openxmlformats.org/officeDocument/2006/relationships/hyperlink" Target="mailto:asdudekula@deloitte.com" TargetMode="External"/><Relationship Id="rId81" Type="http://schemas.openxmlformats.org/officeDocument/2006/relationships/hyperlink" Target="mailto:mghuge@deloitte.com" TargetMode="External"/><Relationship Id="rId86" Type="http://schemas.openxmlformats.org/officeDocument/2006/relationships/hyperlink" Target="mailto:nmridulareddy@deloitte.com" TargetMode="External"/><Relationship Id="rId94" Type="http://schemas.openxmlformats.org/officeDocument/2006/relationships/vmlDrawing" Target="../drawings/vmlDrawing1.vml"/><Relationship Id="rId4" Type="http://schemas.openxmlformats.org/officeDocument/2006/relationships/hyperlink" Target="mailto:vasutr@deloitte.com" TargetMode="External"/><Relationship Id="rId9" Type="http://schemas.openxmlformats.org/officeDocument/2006/relationships/hyperlink" Target="mailto:napratap@deloitte.com" TargetMode="External"/><Relationship Id="rId13" Type="http://schemas.openxmlformats.org/officeDocument/2006/relationships/hyperlink" Target="mailto:ananditsingh@deloitte.com" TargetMode="External"/><Relationship Id="rId18" Type="http://schemas.openxmlformats.org/officeDocument/2006/relationships/hyperlink" Target="mailto:akalkundre@deloitte.com" TargetMode="External"/><Relationship Id="rId39" Type="http://schemas.openxmlformats.org/officeDocument/2006/relationships/hyperlink" Target="mailto:pkumartiwari@deloitte.com" TargetMode="External"/><Relationship Id="rId34" Type="http://schemas.openxmlformats.org/officeDocument/2006/relationships/hyperlink" Target="mailto:akalkundre@deloitte.com" TargetMode="External"/><Relationship Id="rId50" Type="http://schemas.openxmlformats.org/officeDocument/2006/relationships/hyperlink" Target="mailto:psrikantam@deloitte.com" TargetMode="External"/><Relationship Id="rId55" Type="http://schemas.openxmlformats.org/officeDocument/2006/relationships/hyperlink" Target="mailto:wiqbalkhan@deloitte.com" TargetMode="External"/><Relationship Id="rId76" Type="http://schemas.openxmlformats.org/officeDocument/2006/relationships/hyperlink" Target="mailto:prgaonkar@deloitte.com" TargetMode="External"/><Relationship Id="rId7" Type="http://schemas.openxmlformats.org/officeDocument/2006/relationships/hyperlink" Target="mailto:vikaspatel@deloitte.com" TargetMode="External"/><Relationship Id="rId71" Type="http://schemas.openxmlformats.org/officeDocument/2006/relationships/hyperlink" Target="mailto:nemathew@deloitte.com" TargetMode="External"/><Relationship Id="rId92" Type="http://schemas.openxmlformats.org/officeDocument/2006/relationships/hyperlink" Target="mailto:nsalins@deloitte.com" TargetMode="External"/><Relationship Id="rId2" Type="http://schemas.openxmlformats.org/officeDocument/2006/relationships/hyperlink" Target="mailto:abirudugadda@deloitte.com" TargetMode="External"/><Relationship Id="rId29" Type="http://schemas.openxmlformats.org/officeDocument/2006/relationships/hyperlink" Target="mailto:VKODAMALA@DELOITTE.COM" TargetMode="External"/><Relationship Id="rId24" Type="http://schemas.openxmlformats.org/officeDocument/2006/relationships/hyperlink" Target="mailto:mauanandkumar@deloitte.com" TargetMode="External"/><Relationship Id="rId40" Type="http://schemas.openxmlformats.org/officeDocument/2006/relationships/hyperlink" Target="http://mytechnology.deloitte.com/" TargetMode="External"/><Relationship Id="rId45" Type="http://schemas.openxmlformats.org/officeDocument/2006/relationships/hyperlink" Target="mailto:rajenlnu@deloitte.com" TargetMode="External"/><Relationship Id="rId66" Type="http://schemas.openxmlformats.org/officeDocument/2006/relationships/hyperlink" Target="mailto:tzaib@deloitte.com" TargetMode="External"/><Relationship Id="rId87" Type="http://schemas.openxmlformats.org/officeDocument/2006/relationships/hyperlink" Target="mailto:muhammedb.ext@deloitte.com" TargetMode="External"/><Relationship Id="rId61" Type="http://schemas.openxmlformats.org/officeDocument/2006/relationships/hyperlink" Target="mailto:soujlnu@deloitte.com" TargetMode="External"/><Relationship Id="rId82" Type="http://schemas.openxmlformats.org/officeDocument/2006/relationships/hyperlink" Target="mailto:sarkrishnan@deloitte.com" TargetMode="External"/><Relationship Id="rId19" Type="http://schemas.openxmlformats.org/officeDocument/2006/relationships/hyperlink" Target="mailto:bsaichaitanya@deloitte.com" TargetMode="External"/><Relationship Id="rId14" Type="http://schemas.openxmlformats.org/officeDocument/2006/relationships/hyperlink" Target="mailto:aramalakshmi@deloitte.com" TargetMode="External"/><Relationship Id="rId30" Type="http://schemas.openxmlformats.org/officeDocument/2006/relationships/hyperlink" Target="mailto:srsandeepkumar@deloitte.com" TargetMode="External"/><Relationship Id="rId35" Type="http://schemas.openxmlformats.org/officeDocument/2006/relationships/hyperlink" Target="mailto:rdurgavenkataprasad@deloitte.com" TargetMode="External"/><Relationship Id="rId56" Type="http://schemas.openxmlformats.org/officeDocument/2006/relationships/hyperlink" Target="mailto:jdevassym@deloitte.com" TargetMode="External"/><Relationship Id="rId77" Type="http://schemas.openxmlformats.org/officeDocument/2006/relationships/hyperlink" Target="mailto:adgupta8@deloitt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arastogi@deloitte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tmadiya@deloitte.com" TargetMode="External"/><Relationship Id="rId6" Type="http://schemas.openxmlformats.org/officeDocument/2006/relationships/hyperlink" Target="mailto:Admin2@456" TargetMode="External"/><Relationship Id="rId5" Type="http://schemas.openxmlformats.org/officeDocument/2006/relationships/hyperlink" Target="mailto:kmullangi@deloitte.com" TargetMode="External"/><Relationship Id="rId4" Type="http://schemas.openxmlformats.org/officeDocument/2006/relationships/hyperlink" Target="mailto:User@12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rohankulkarni@deloitte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greendot365.sharepoint.com/sites/VendorComplianceTraining/Shared%20Documents/Forms/AllItems.aspx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greendot365.sharepoint.com/:v:/r/sites/Techzone/Shared%20Documents/KT%20(Knowledge%20Transfers)%20channel/%5bHold%5d%20-%20ArgoCD%20Training%20for%20SH%20Dev_QA%20Teams-20250226_191857-Meeting%20Recording.mp4" TargetMode="External"/><Relationship Id="rId1" Type="http://schemas.openxmlformats.org/officeDocument/2006/relationships/hyperlink" Target="https://becurious.edcast.eu/pathways/green-dot-devops-profile-training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learning/ai-pair-programming-with-github-copilot-25302433" TargetMode="External"/><Relationship Id="rId2" Type="http://schemas.openxmlformats.org/officeDocument/2006/relationships/hyperlink" Target="https://deloittedevelopment.udemy.com/course/github-copilot-for-professionals" TargetMode="External"/><Relationship Id="rId1" Type="http://schemas.openxmlformats.org/officeDocument/2006/relationships/hyperlink" Target="https://deloittedevelopment.udemy.com/course/github-copilot-masterclass" TargetMode="External"/><Relationship Id="rId5" Type="http://schemas.openxmlformats.org/officeDocument/2006/relationships/hyperlink" Target="https://www.linkedin.com/learning/ai-coding-agents-with-github-copilot-and-cursor" TargetMode="External"/><Relationship Id="rId4" Type="http://schemas.openxmlformats.org/officeDocument/2006/relationships/hyperlink" Target="https://www.linkedin.com/learning/refactoring-with-github-copilot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o5qkgsyfRao" TargetMode="External"/><Relationship Id="rId1" Type="http://schemas.openxmlformats.org/officeDocument/2006/relationships/hyperlink" Target="https://deloittedevelopment.udemy.com/course/azure-kubernetes-service-workshop/?utm_campaign=share-to-teams-from-product&amp;utm_source=ms-teams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hNVR2k5D2nw" TargetMode="External"/><Relationship Id="rId2" Type="http://schemas.openxmlformats.org/officeDocument/2006/relationships/hyperlink" Target="https://www.youtube.com/watch?v=LbEFkTukBqc" TargetMode="External"/><Relationship Id="rId1" Type="http://schemas.openxmlformats.org/officeDocument/2006/relationships/hyperlink" Target="https://www.youtube.com/watch?v=M7voIvA9vOo" TargetMode="External"/><Relationship Id="rId5" Type="http://schemas.openxmlformats.org/officeDocument/2006/relationships/hyperlink" Target="https://www.atlassian.com/software/confluence/resources/guides/best-practices/confluence-rovo" TargetMode="External"/><Relationship Id="rId4" Type="http://schemas.openxmlformats.org/officeDocument/2006/relationships/hyperlink" Target="https://www.atlassian.com/software/rovo/guides/end-user-guide/how-to-use-rovo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becurious.edcast.eu/pathways/datadog-datadog-is/cards/100772211" TargetMode="External"/><Relationship Id="rId2" Type="http://schemas.openxmlformats.org/officeDocument/2006/relationships/hyperlink" Target="https://deloittedevelopment.udemy.com/course/datadog-course/" TargetMode="External"/><Relationship Id="rId1" Type="http://schemas.openxmlformats.org/officeDocument/2006/relationships/hyperlink" Target="https://deloittedevelopment.udemy.com/course/datadog-performance-monitoring-tool-from-zero-to-hero/" TargetMode="External"/><Relationship Id="rId4" Type="http://schemas.openxmlformats.org/officeDocument/2006/relationships/hyperlink" Target="https://youtu.be/KcOGQfTYBBM?si=S1P-IjCUKVMt2tTh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becurious.edcast.eu/pathways/green-dot-dot-net-profile-training/cards/100764263" TargetMode="External"/><Relationship Id="rId3" Type="http://schemas.openxmlformats.org/officeDocument/2006/relationships/hyperlink" Target="https://becurious.edcast.eu/pathways/green-dot-dot-net-profile-training/cards/100834837" TargetMode="External"/><Relationship Id="rId7" Type="http://schemas.openxmlformats.org/officeDocument/2006/relationships/hyperlink" Target="https://becurious.edcast.eu/pathways/green-dot-dot-net-profile-training/cards/100527044" TargetMode="External"/><Relationship Id="rId2" Type="http://schemas.openxmlformats.org/officeDocument/2006/relationships/hyperlink" Target="https://becurious.edcast.eu/pathways/green-dot-dot-net-profile-training/cards/110221459" TargetMode="External"/><Relationship Id="rId1" Type="http://schemas.openxmlformats.org/officeDocument/2006/relationships/hyperlink" Target="https://becurious.edcast.eu/pathways/green-dot-dot-net-profile-training/cards/101351141" TargetMode="External"/><Relationship Id="rId6" Type="http://schemas.openxmlformats.org/officeDocument/2006/relationships/hyperlink" Target="https://becurious.edcast.eu/pathways/green-dot-dot-net-profile-training/cards/108778855" TargetMode="External"/><Relationship Id="rId11" Type="http://schemas.openxmlformats.org/officeDocument/2006/relationships/hyperlink" Target="https://deloittedevelopment.udemy.com/course/modern-dotnet-testing/?src=sac&amp;kw=Advanced+Automation+Testing+of+Modern+Apps+with+C%23+.NET" TargetMode="External"/><Relationship Id="rId5" Type="http://schemas.openxmlformats.org/officeDocument/2006/relationships/hyperlink" Target="https://becurious.edcast.eu/pathways/green-dot-dot-net-profile-training/cards/110314377" TargetMode="External"/><Relationship Id="rId10" Type="http://schemas.openxmlformats.org/officeDocument/2006/relationships/hyperlink" Target="https://secure-web.cisco.com/1tvyNBxX3ndiQ5w6U35qtGmNindmwLdjQ9DVBuD5KL_1y2XN6on5qJVqSpbgS8xDmmnv0dmmZz0mhBoPa2E_zcjKTj25VXZ_-eRZKm39pQw6zg2QwuQMJdhhTTvKC90CEqT6dHXTF7HRXQgeFrcpS7uxvGh-NrlFnbjtI-38q9A_zOHEKPkoBtGsVjehAbYc83dzt1xNM5hW9YnnwpxRmypm4oj-5xJip156IgbnCA6Y1RZkv7gnsqgZwpYE1b3-CHke-AhKhfzQtwKiLCDW-EYEam7oJ8PUj80pjFq2_ZvoaIvQXxCCNUsXkjIBcvcVto5BCDCFQ2irHwPb9RXNbTNct5BFz0tuw_1OvjhUmhMeyJBr7mxT4k7wfHcq197LeZZGn-8BCyEevjUoOo2pmOiOCmm0Y_oYuAUFmdmrVEB2nZSeOTZsSMUbPTBA9Yrs94BKdUDzIf9kplTnJxh0CM3Q41pMlod_uyXkG_aLLzl2-q-XpUukXH-TgaFEncXM1/https%3A%2F%2Fbecurious.edcast.eu%2Finsights%2FECL-62a9fb5a-bfa5-48c8-b554-9a827d075124" TargetMode="External"/><Relationship Id="rId4" Type="http://schemas.openxmlformats.org/officeDocument/2006/relationships/hyperlink" Target="https://becurious.edcast.eu/pathways/green-dot-dot-net-profile-training/cards/100831530" TargetMode="External"/><Relationship Id="rId9" Type="http://schemas.openxmlformats.org/officeDocument/2006/relationships/hyperlink" Target="https://becurious.edcast.eu/pathways/green-dot-dot-net-profile-training/cards/101256005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https://deloittedevelopment.udemy.com/course/zero-to-hero-in-lightning-web-components/" TargetMode="External"/><Relationship Id="rId1" Type="http://schemas.openxmlformats.org/officeDocument/2006/relationships/hyperlink" Target="https://deloittedevelopment.udemy.com/course/datadog-performance-monitoring-tool-from-zero-to-hero/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datadoghq.com/logs/log_collection/ios/?tab=swiftpackagemanagerspm" TargetMode="External"/><Relationship Id="rId2" Type="http://schemas.openxmlformats.org/officeDocument/2006/relationships/hyperlink" Target="https://github.com/DataDog/dd-sdk-ios" TargetMode="External"/><Relationship Id="rId1" Type="http://schemas.openxmlformats.org/officeDocument/2006/relationships/hyperlink" Target="https://youtu.be/KcOGQfTYBBM?si=sXHsdBeet9cwTHYP" TargetMode="External"/><Relationship Id="rId5" Type="http://schemas.openxmlformats.org/officeDocument/2006/relationships/hyperlink" Target="https://docs.datadoghq.com/real_user_monitoring/error_tracking/mobile/ios" TargetMode="External"/><Relationship Id="rId4" Type="http://schemas.openxmlformats.org/officeDocument/2006/relationships/hyperlink" Target="https://docs.datadoghq.com/tracing/trace_collection/automatic_instrumentation/dd_libraries/ios/?tab=swiftpackagemanagerspm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deloittedevelopment.udemy.com/course/informatica-cloud-iics-the-complete-guide-2023-edition/learn/lecture/40626996" TargetMode="External"/><Relationship Id="rId2" Type="http://schemas.openxmlformats.org/officeDocument/2006/relationships/hyperlink" Target="https://becurious.edcast.eu/pathways/azure-sql-this" TargetMode="External"/><Relationship Id="rId1" Type="http://schemas.openxmlformats.org/officeDocument/2006/relationships/hyperlink" Target="https://becurious.edcast.eu/pathways/amazon-redshift-training-pathw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97FF-3897-4B6D-8A0F-DEA84C78DC28}">
  <dimension ref="A1:AI103"/>
  <sheetViews>
    <sheetView topLeftCell="A88" workbookViewId="0">
      <selection activeCell="B103" sqref="B103"/>
    </sheetView>
  </sheetViews>
  <sheetFormatPr defaultRowHeight="14.5" x14ac:dyDescent="0.35"/>
  <cols>
    <col min="1" max="1" width="12.54296875" customWidth="1"/>
    <col min="2" max="2" width="27.26953125" customWidth="1"/>
    <col min="3" max="3" width="29.1796875" customWidth="1"/>
    <col min="4" max="4" width="14.26953125" customWidth="1"/>
    <col min="6" max="6" width="10.08984375" bestFit="1" customWidth="1"/>
    <col min="8" max="8" width="14.54296875" customWidth="1"/>
    <col min="9" max="9" width="13.54296875" customWidth="1"/>
    <col min="11" max="11" width="23" customWidth="1"/>
    <col min="14" max="14" width="13.7265625" customWidth="1"/>
    <col min="15" max="15" width="11.36328125" customWidth="1"/>
    <col min="16" max="16" width="14.1796875" customWidth="1"/>
    <col min="17" max="17" width="18.26953125" customWidth="1"/>
    <col min="18" max="18" width="15.453125" customWidth="1"/>
    <col min="19" max="19" width="21.90625" customWidth="1"/>
    <col min="20" max="20" width="14.7265625" customWidth="1"/>
    <col min="24" max="24" width="23.26953125" customWidth="1"/>
    <col min="27" max="27" width="16.36328125" customWidth="1"/>
    <col min="29" max="29" width="22.453125" customWidth="1"/>
    <col min="30" max="30" width="15.26953125" customWidth="1"/>
    <col min="31" max="31" width="25.7265625" customWidth="1"/>
    <col min="32" max="32" width="23.453125" customWidth="1"/>
    <col min="33" max="33" width="27.453125" customWidth="1"/>
    <col min="34" max="34" width="17" customWidth="1"/>
    <col min="35" max="35" width="12.81640625" customWidth="1"/>
  </cols>
  <sheetData>
    <row r="1" spans="1:35" x14ac:dyDescent="0.35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4" t="s">
        <v>10</v>
      </c>
      <c r="L1" s="83" t="s">
        <v>11</v>
      </c>
      <c r="M1" s="85" t="s">
        <v>12</v>
      </c>
      <c r="N1" s="85" t="s">
        <v>13</v>
      </c>
      <c r="O1" s="86" t="s">
        <v>14</v>
      </c>
      <c r="P1" s="86" t="s">
        <v>15</v>
      </c>
      <c r="Q1" s="86" t="s">
        <v>16</v>
      </c>
      <c r="R1" s="85" t="s">
        <v>17</v>
      </c>
      <c r="S1" s="85" t="s">
        <v>18</v>
      </c>
      <c r="T1" s="85" t="s">
        <v>19</v>
      </c>
      <c r="U1" s="83" t="s">
        <v>20</v>
      </c>
      <c r="V1" s="83" t="s">
        <v>21</v>
      </c>
      <c r="W1" s="83" t="s">
        <v>22</v>
      </c>
      <c r="X1" s="83" t="s">
        <v>23</v>
      </c>
      <c r="Y1" s="83" t="s">
        <v>24</v>
      </c>
      <c r="Z1" s="83" t="s">
        <v>25</v>
      </c>
      <c r="AA1" s="83" t="s">
        <v>26</v>
      </c>
      <c r="AB1" s="83" t="s">
        <v>27</v>
      </c>
      <c r="AC1" s="85" t="s">
        <v>28</v>
      </c>
      <c r="AD1" s="85" t="s">
        <v>29</v>
      </c>
      <c r="AE1" s="85" t="s">
        <v>30</v>
      </c>
      <c r="AF1" s="85" t="s">
        <v>31</v>
      </c>
      <c r="AG1" s="85" t="s">
        <v>32</v>
      </c>
      <c r="AH1" s="85" t="s">
        <v>33</v>
      </c>
      <c r="AI1" s="313" t="s">
        <v>30</v>
      </c>
    </row>
    <row r="2" spans="1:35" x14ac:dyDescent="0.35">
      <c r="A2" s="87">
        <v>1</v>
      </c>
      <c r="B2" s="87" t="s">
        <v>34</v>
      </c>
      <c r="C2" s="88" t="s">
        <v>35</v>
      </c>
      <c r="D2" s="87" t="s">
        <v>36</v>
      </c>
      <c r="E2" s="87" t="s">
        <v>37</v>
      </c>
      <c r="F2" s="87"/>
      <c r="G2" s="87" t="s">
        <v>38</v>
      </c>
      <c r="H2" s="87"/>
      <c r="I2" s="89" t="s">
        <v>39</v>
      </c>
      <c r="J2" s="89"/>
      <c r="K2" s="90"/>
      <c r="L2" s="87"/>
      <c r="M2" s="87" t="s">
        <v>40</v>
      </c>
      <c r="N2" s="87" t="s">
        <v>41</v>
      </c>
      <c r="O2" s="87" t="s">
        <v>42</v>
      </c>
      <c r="P2" s="87" t="s">
        <v>43</v>
      </c>
      <c r="Q2" s="87" t="s">
        <v>44</v>
      </c>
      <c r="R2" s="87"/>
      <c r="S2" s="87"/>
      <c r="T2" s="87"/>
      <c r="U2" s="87" t="s">
        <v>45</v>
      </c>
      <c r="V2" s="87" t="s">
        <v>45</v>
      </c>
      <c r="W2" s="87" t="s">
        <v>45</v>
      </c>
      <c r="X2" s="87"/>
      <c r="Y2" s="87"/>
      <c r="Z2" s="87"/>
      <c r="AA2" s="87"/>
      <c r="AB2" s="87" t="s">
        <v>45</v>
      </c>
      <c r="AC2" s="87"/>
      <c r="AD2" s="87"/>
      <c r="AE2" s="87"/>
      <c r="AF2" s="91" t="s">
        <v>46</v>
      </c>
      <c r="AG2" s="89">
        <v>9791077786</v>
      </c>
      <c r="AH2" s="87"/>
      <c r="AI2" s="110" t="s">
        <v>47</v>
      </c>
    </row>
    <row r="3" spans="1:35" x14ac:dyDescent="0.35">
      <c r="A3" s="71">
        <v>2</v>
      </c>
      <c r="B3" s="92" t="s">
        <v>48</v>
      </c>
      <c r="C3" s="71" t="s">
        <v>49</v>
      </c>
      <c r="D3" s="71" t="s">
        <v>36</v>
      </c>
      <c r="E3" s="93" t="s">
        <v>50</v>
      </c>
      <c r="F3" s="71"/>
      <c r="G3" s="71" t="s">
        <v>51</v>
      </c>
      <c r="H3" s="71"/>
      <c r="I3" s="94" t="s">
        <v>52</v>
      </c>
      <c r="J3" s="94"/>
      <c r="K3" s="95"/>
      <c r="L3" s="71"/>
      <c r="M3" s="71" t="s">
        <v>40</v>
      </c>
      <c r="N3" s="94" t="s">
        <v>41</v>
      </c>
      <c r="O3" s="71" t="s">
        <v>42</v>
      </c>
      <c r="P3" s="71" t="s">
        <v>43</v>
      </c>
      <c r="Q3" s="71" t="s">
        <v>44</v>
      </c>
      <c r="R3" s="71"/>
      <c r="S3" s="71"/>
      <c r="T3" s="71"/>
      <c r="U3" s="71" t="s">
        <v>45</v>
      </c>
      <c r="V3" s="71" t="s">
        <v>45</v>
      </c>
      <c r="W3" s="71" t="s">
        <v>45</v>
      </c>
      <c r="X3" s="71"/>
      <c r="Y3" s="71"/>
      <c r="Z3" s="71"/>
      <c r="AA3" s="71"/>
      <c r="AB3" s="71" t="s">
        <v>45</v>
      </c>
      <c r="AC3" s="71"/>
      <c r="AD3" s="71"/>
      <c r="AE3" s="71" t="s">
        <v>46</v>
      </c>
      <c r="AF3" s="71"/>
      <c r="AG3" s="94" t="s">
        <v>46</v>
      </c>
      <c r="AH3" s="71"/>
    </row>
    <row r="4" spans="1:35" x14ac:dyDescent="0.35">
      <c r="A4" s="71">
        <v>3</v>
      </c>
      <c r="B4" s="92" t="s">
        <v>53</v>
      </c>
      <c r="C4" s="96" t="s">
        <v>54</v>
      </c>
      <c r="D4" s="71" t="s">
        <v>36</v>
      </c>
      <c r="E4" s="93" t="s">
        <v>50</v>
      </c>
      <c r="F4" s="71" t="s">
        <v>55</v>
      </c>
      <c r="G4" s="71" t="s">
        <v>56</v>
      </c>
      <c r="H4" s="74" t="s">
        <v>39</v>
      </c>
      <c r="I4" s="94" t="s">
        <v>39</v>
      </c>
      <c r="J4" s="94" t="s">
        <v>57</v>
      </c>
      <c r="K4" s="95">
        <v>45936</v>
      </c>
      <c r="L4" s="71" t="s">
        <v>45</v>
      </c>
      <c r="M4" s="71" t="s">
        <v>58</v>
      </c>
      <c r="N4" s="94" t="s">
        <v>59</v>
      </c>
      <c r="O4" s="9" t="s">
        <v>60</v>
      </c>
      <c r="P4" s="94"/>
      <c r="Q4" s="94" t="s">
        <v>58</v>
      </c>
      <c r="R4" s="71" t="s">
        <v>61</v>
      </c>
      <c r="S4" s="71" t="s">
        <v>45</v>
      </c>
      <c r="T4" s="71" t="s">
        <v>45</v>
      </c>
      <c r="U4" s="71" t="s">
        <v>45</v>
      </c>
      <c r="V4" s="71" t="s">
        <v>62</v>
      </c>
      <c r="W4" s="71" t="s">
        <v>45</v>
      </c>
      <c r="X4" s="71" t="s">
        <v>45</v>
      </c>
      <c r="Y4" s="71" t="s">
        <v>45</v>
      </c>
      <c r="Z4" s="71" t="s">
        <v>45</v>
      </c>
      <c r="AA4" s="71" t="s">
        <v>63</v>
      </c>
      <c r="AB4" s="71" t="s">
        <v>62</v>
      </c>
      <c r="AC4" s="71" t="s">
        <v>45</v>
      </c>
      <c r="AD4" s="71" t="s">
        <v>64</v>
      </c>
      <c r="AE4" s="71" t="s">
        <v>65</v>
      </c>
      <c r="AF4" s="71"/>
      <c r="AG4" s="94">
        <v>9972012112</v>
      </c>
      <c r="AH4" s="71"/>
    </row>
    <row r="5" spans="1:35" ht="43.5" x14ac:dyDescent="0.35">
      <c r="A5" s="71">
        <v>4</v>
      </c>
      <c r="B5" s="92" t="s">
        <v>66</v>
      </c>
      <c r="C5" s="96" t="s">
        <v>67</v>
      </c>
      <c r="D5" s="71" t="s">
        <v>36</v>
      </c>
      <c r="E5" s="71" t="s">
        <v>50</v>
      </c>
      <c r="F5" s="71" t="s">
        <v>55</v>
      </c>
      <c r="G5" s="71" t="s">
        <v>56</v>
      </c>
      <c r="H5" s="6" t="s">
        <v>52</v>
      </c>
      <c r="I5" s="97" t="s">
        <v>52</v>
      </c>
      <c r="J5" s="94" t="s">
        <v>68</v>
      </c>
      <c r="K5" s="95">
        <v>45936</v>
      </c>
      <c r="L5" s="71" t="s">
        <v>45</v>
      </c>
      <c r="M5" s="71" t="s">
        <v>40</v>
      </c>
      <c r="N5" s="94" t="s">
        <v>59</v>
      </c>
      <c r="O5" s="98" t="s">
        <v>69</v>
      </c>
      <c r="P5" s="98" t="s">
        <v>70</v>
      </c>
      <c r="Q5" s="94" t="s">
        <v>71</v>
      </c>
      <c r="R5" s="71" t="s">
        <v>61</v>
      </c>
      <c r="S5" s="99" t="s">
        <v>45</v>
      </c>
      <c r="T5" s="71" t="s">
        <v>45</v>
      </c>
      <c r="U5" s="71" t="s">
        <v>45</v>
      </c>
      <c r="V5" s="71" t="s">
        <v>45</v>
      </c>
      <c r="W5" s="71" t="s">
        <v>45</v>
      </c>
      <c r="X5" s="71" t="s">
        <v>45</v>
      </c>
      <c r="Y5" s="71" t="s">
        <v>45</v>
      </c>
      <c r="Z5" s="71" t="s">
        <v>45</v>
      </c>
      <c r="AA5" s="71" t="s">
        <v>63</v>
      </c>
      <c r="AB5" s="71" t="s">
        <v>45</v>
      </c>
      <c r="AC5" s="71" t="s">
        <v>45</v>
      </c>
      <c r="AD5" s="71" t="s">
        <v>64</v>
      </c>
      <c r="AE5" s="100" t="s">
        <v>72</v>
      </c>
      <c r="AF5" s="71"/>
      <c r="AG5" s="94">
        <v>7572060647</v>
      </c>
      <c r="AH5" s="71"/>
    </row>
    <row r="6" spans="1:35" ht="101.5" x14ac:dyDescent="0.35">
      <c r="A6" s="71">
        <v>5</v>
      </c>
      <c r="B6" s="71" t="s">
        <v>73</v>
      </c>
      <c r="C6" s="96" t="s">
        <v>74</v>
      </c>
      <c r="D6" s="71" t="s">
        <v>36</v>
      </c>
      <c r="E6" s="93" t="s">
        <v>50</v>
      </c>
      <c r="F6" s="71" t="s">
        <v>55</v>
      </c>
      <c r="G6" s="71" t="s">
        <v>56</v>
      </c>
      <c r="H6" s="6" t="s">
        <v>39</v>
      </c>
      <c r="I6" s="97" t="s">
        <v>39</v>
      </c>
      <c r="J6" s="94" t="s">
        <v>57</v>
      </c>
      <c r="K6" s="95">
        <v>45922</v>
      </c>
      <c r="L6" s="71" t="s">
        <v>45</v>
      </c>
      <c r="M6" s="71" t="s">
        <v>75</v>
      </c>
      <c r="N6" s="94" t="s">
        <v>59</v>
      </c>
      <c r="O6" s="94" t="s">
        <v>76</v>
      </c>
      <c r="P6" s="94" t="s">
        <v>77</v>
      </c>
      <c r="Q6" s="94" t="s">
        <v>78</v>
      </c>
      <c r="R6" s="71" t="s">
        <v>61</v>
      </c>
      <c r="S6" s="71" t="s">
        <v>45</v>
      </c>
      <c r="T6" s="71" t="s">
        <v>45</v>
      </c>
      <c r="U6" s="71" t="s">
        <v>45</v>
      </c>
      <c r="V6" s="71" t="s">
        <v>62</v>
      </c>
      <c r="W6" s="71" t="s">
        <v>45</v>
      </c>
      <c r="X6" s="71" t="s">
        <v>45</v>
      </c>
      <c r="Y6" s="71" t="s">
        <v>45</v>
      </c>
      <c r="Z6" s="71" t="s">
        <v>45</v>
      </c>
      <c r="AA6" s="71" t="s">
        <v>63</v>
      </c>
      <c r="AB6" s="71" t="s">
        <v>45</v>
      </c>
      <c r="AC6" s="71" t="s">
        <v>45</v>
      </c>
      <c r="AD6" s="71" t="s">
        <v>62</v>
      </c>
      <c r="AE6" s="100" t="s">
        <v>79</v>
      </c>
      <c r="AF6" s="71"/>
      <c r="AG6" s="94">
        <v>9740730184</v>
      </c>
      <c r="AH6" s="71"/>
    </row>
    <row r="7" spans="1:35" x14ac:dyDescent="0.35">
      <c r="A7" s="71">
        <v>6</v>
      </c>
      <c r="B7" s="92" t="s">
        <v>80</v>
      </c>
      <c r="C7" s="101" t="s">
        <v>81</v>
      </c>
      <c r="D7" s="71" t="s">
        <v>36</v>
      </c>
      <c r="E7" t="s">
        <v>50</v>
      </c>
      <c r="F7" s="71" t="s">
        <v>55</v>
      </c>
      <c r="G7" t="s">
        <v>82</v>
      </c>
      <c r="H7" t="s">
        <v>39</v>
      </c>
      <c r="I7" s="94" t="s">
        <v>39</v>
      </c>
      <c r="J7" s="94" t="s">
        <v>57</v>
      </c>
      <c r="K7" s="95">
        <v>45931</v>
      </c>
      <c r="L7" s="71" t="s">
        <v>45</v>
      </c>
      <c r="M7" s="71" t="s">
        <v>58</v>
      </c>
      <c r="N7" s="94" t="s">
        <v>59</v>
      </c>
      <c r="O7" s="9" t="s">
        <v>60</v>
      </c>
      <c r="P7" s="94"/>
      <c r="Q7" s="94" t="s">
        <v>58</v>
      </c>
      <c r="R7" s="71" t="s">
        <v>83</v>
      </c>
      <c r="S7" s="71" t="s">
        <v>45</v>
      </c>
      <c r="T7" s="71" t="s">
        <v>45</v>
      </c>
      <c r="U7" s="71" t="s">
        <v>45</v>
      </c>
      <c r="V7" s="71" t="s">
        <v>62</v>
      </c>
      <c r="W7" s="71" t="s">
        <v>45</v>
      </c>
      <c r="X7" s="71" t="s">
        <v>45</v>
      </c>
      <c r="Y7" s="71" t="s">
        <v>45</v>
      </c>
      <c r="Z7" s="71" t="s">
        <v>45</v>
      </c>
      <c r="AA7" s="71" t="s">
        <v>63</v>
      </c>
      <c r="AB7" s="71" t="s">
        <v>62</v>
      </c>
      <c r="AC7" s="71" t="s">
        <v>45</v>
      </c>
      <c r="AD7" s="71" t="s">
        <v>64</v>
      </c>
      <c r="AE7" s="71" t="s">
        <v>65</v>
      </c>
      <c r="AF7" s="71"/>
      <c r="AG7" s="94">
        <v>8880438460</v>
      </c>
      <c r="AH7" s="71"/>
    </row>
    <row r="8" spans="1:35" x14ac:dyDescent="0.35">
      <c r="A8" s="71">
        <v>7</v>
      </c>
      <c r="B8" s="102" t="s">
        <v>84</v>
      </c>
      <c r="C8" s="96" t="s">
        <v>85</v>
      </c>
      <c r="D8" s="71" t="s">
        <v>36</v>
      </c>
      <c r="E8" s="71" t="s">
        <v>50</v>
      </c>
      <c r="F8" s="71" t="s">
        <v>55</v>
      </c>
      <c r="G8" s="71" t="s">
        <v>51</v>
      </c>
      <c r="H8" s="71" t="s">
        <v>52</v>
      </c>
      <c r="I8" s="94" t="s">
        <v>39</v>
      </c>
      <c r="J8" s="94" t="s">
        <v>57</v>
      </c>
      <c r="K8" s="95">
        <v>45901</v>
      </c>
      <c r="L8" s="71" t="s">
        <v>45</v>
      </c>
      <c r="M8" s="71" t="s">
        <v>86</v>
      </c>
      <c r="N8" s="6" t="s">
        <v>87</v>
      </c>
      <c r="O8" s="6" t="s">
        <v>88</v>
      </c>
      <c r="P8" s="6"/>
      <c r="Q8" s="6" t="s">
        <v>89</v>
      </c>
      <c r="R8" s="71" t="s">
        <v>61</v>
      </c>
      <c r="S8" s="71" t="s">
        <v>45</v>
      </c>
      <c r="T8" s="71" t="s">
        <v>45</v>
      </c>
      <c r="U8" s="71" t="s">
        <v>45</v>
      </c>
      <c r="V8" s="71" t="s">
        <v>45</v>
      </c>
      <c r="W8" s="71" t="s">
        <v>45</v>
      </c>
      <c r="X8" s="71"/>
      <c r="Y8" s="71" t="s">
        <v>45</v>
      </c>
      <c r="Z8" s="71" t="s">
        <v>45</v>
      </c>
      <c r="AA8" s="71"/>
      <c r="AB8" s="71" t="s">
        <v>45</v>
      </c>
      <c r="AC8" s="71" t="s">
        <v>45</v>
      </c>
      <c r="AD8" s="71" t="s">
        <v>64</v>
      </c>
      <c r="AE8" s="71"/>
      <c r="AF8" s="71"/>
      <c r="AG8" s="103">
        <v>9096928352</v>
      </c>
      <c r="AH8" s="71"/>
    </row>
    <row r="9" spans="1:35" x14ac:dyDescent="0.35">
      <c r="A9" s="71">
        <v>8</v>
      </c>
      <c r="B9" s="92" t="s">
        <v>90</v>
      </c>
      <c r="C9" s="96" t="s">
        <v>91</v>
      </c>
      <c r="D9" s="71" t="s">
        <v>36</v>
      </c>
      <c r="E9" s="71" t="s">
        <v>50</v>
      </c>
      <c r="F9" s="71" t="s">
        <v>55</v>
      </c>
      <c r="G9" s="71" t="s">
        <v>51</v>
      </c>
      <c r="H9" s="71" t="s">
        <v>92</v>
      </c>
      <c r="I9" s="94" t="s">
        <v>92</v>
      </c>
      <c r="J9" s="94" t="s">
        <v>68</v>
      </c>
      <c r="K9" s="95">
        <v>45894</v>
      </c>
      <c r="L9" s="71" t="s">
        <v>45</v>
      </c>
      <c r="M9" s="71" t="s">
        <v>86</v>
      </c>
      <c r="N9" s="6" t="s">
        <v>87</v>
      </c>
      <c r="O9" s="104" t="s">
        <v>88</v>
      </c>
      <c r="P9" s="6"/>
      <c r="Q9" s="6" t="s">
        <v>89</v>
      </c>
      <c r="R9" s="71" t="s">
        <v>61</v>
      </c>
      <c r="S9" s="71" t="s">
        <v>45</v>
      </c>
      <c r="T9" s="71" t="s">
        <v>45</v>
      </c>
      <c r="U9" s="71" t="s">
        <v>45</v>
      </c>
      <c r="V9" s="71" t="s">
        <v>45</v>
      </c>
      <c r="W9" s="71" t="s">
        <v>45</v>
      </c>
      <c r="X9" s="71"/>
      <c r="Y9" s="71" t="s">
        <v>45</v>
      </c>
      <c r="Z9" s="71" t="s">
        <v>45</v>
      </c>
      <c r="AA9" s="71"/>
      <c r="AB9" s="71" t="s">
        <v>45</v>
      </c>
      <c r="AC9" s="71" t="s">
        <v>45</v>
      </c>
      <c r="AD9" s="71" t="s">
        <v>64</v>
      </c>
      <c r="AE9" s="71"/>
      <c r="AF9" s="71"/>
      <c r="AG9" s="94">
        <v>6782997938</v>
      </c>
      <c r="AH9" s="71"/>
    </row>
    <row r="10" spans="1:35" ht="87" x14ac:dyDescent="0.35">
      <c r="A10" s="87">
        <v>9</v>
      </c>
      <c r="B10" s="87" t="s">
        <v>93</v>
      </c>
      <c r="C10" s="105" t="s">
        <v>94</v>
      </c>
      <c r="D10" s="87" t="s">
        <v>36</v>
      </c>
      <c r="E10" s="87" t="s">
        <v>37</v>
      </c>
      <c r="F10" s="87"/>
      <c r="G10" s="87" t="s">
        <v>51</v>
      </c>
      <c r="H10" s="87"/>
      <c r="I10" s="106" t="s">
        <v>39</v>
      </c>
      <c r="J10" s="106"/>
      <c r="K10" s="90"/>
      <c r="L10" s="87"/>
      <c r="M10" s="87" t="s">
        <v>95</v>
      </c>
      <c r="N10" s="89" t="s">
        <v>59</v>
      </c>
      <c r="O10" s="89" t="s">
        <v>76</v>
      </c>
      <c r="P10" s="89" t="s">
        <v>96</v>
      </c>
      <c r="Q10" s="89" t="s">
        <v>78</v>
      </c>
      <c r="R10" s="87"/>
      <c r="S10" s="87"/>
      <c r="T10" s="87"/>
      <c r="U10" s="87" t="s">
        <v>45</v>
      </c>
      <c r="V10" s="87" t="s">
        <v>45</v>
      </c>
      <c r="W10" s="87" t="s">
        <v>45</v>
      </c>
      <c r="X10" s="87"/>
      <c r="Y10" s="87"/>
      <c r="Z10" s="87"/>
      <c r="AA10" s="87"/>
      <c r="AB10" s="87" t="s">
        <v>45</v>
      </c>
      <c r="AC10" s="87"/>
      <c r="AD10" s="87"/>
      <c r="AE10" s="107" t="s">
        <v>97</v>
      </c>
      <c r="AF10" s="91"/>
      <c r="AG10" s="108" t="s">
        <v>98</v>
      </c>
      <c r="AH10" s="108"/>
    </row>
    <row r="11" spans="1:35" x14ac:dyDescent="0.35">
      <c r="A11" s="71">
        <v>10</v>
      </c>
      <c r="B11" s="92" t="s">
        <v>99</v>
      </c>
      <c r="C11" s="96" t="s">
        <v>100</v>
      </c>
      <c r="D11" s="71" t="s">
        <v>36</v>
      </c>
      <c r="E11" s="93" t="s">
        <v>50</v>
      </c>
      <c r="F11" s="71" t="s">
        <v>55</v>
      </c>
      <c r="G11" t="s">
        <v>101</v>
      </c>
      <c r="H11" t="s">
        <v>39</v>
      </c>
      <c r="I11" s="94" t="s">
        <v>39</v>
      </c>
      <c r="J11" s="94" t="s">
        <v>57</v>
      </c>
      <c r="K11" s="95">
        <v>45931</v>
      </c>
      <c r="L11" s="71" t="s">
        <v>45</v>
      </c>
      <c r="M11" s="71" t="s">
        <v>58</v>
      </c>
      <c r="N11" s="94" t="s">
        <v>59</v>
      </c>
      <c r="O11" s="9" t="s">
        <v>60</v>
      </c>
      <c r="P11" s="94"/>
      <c r="Q11" s="94" t="s">
        <v>58</v>
      </c>
      <c r="R11" s="71" t="s">
        <v>83</v>
      </c>
      <c r="S11" s="71" t="s">
        <v>45</v>
      </c>
      <c r="T11" s="71" t="s">
        <v>45</v>
      </c>
      <c r="U11" s="71" t="s">
        <v>45</v>
      </c>
      <c r="V11" s="71" t="s">
        <v>62</v>
      </c>
      <c r="W11" s="71" t="s">
        <v>45</v>
      </c>
      <c r="X11" s="71" t="s">
        <v>45</v>
      </c>
      <c r="Y11" s="71" t="s">
        <v>45</v>
      </c>
      <c r="Z11" s="71" t="s">
        <v>45</v>
      </c>
      <c r="AA11" s="71" t="s">
        <v>63</v>
      </c>
      <c r="AB11" s="71" t="s">
        <v>62</v>
      </c>
      <c r="AC11" s="71" t="s">
        <v>45</v>
      </c>
      <c r="AD11" s="71" t="s">
        <v>64</v>
      </c>
      <c r="AE11" s="71" t="s">
        <v>65</v>
      </c>
      <c r="AF11" s="71"/>
      <c r="AG11" s="94">
        <v>6782997938</v>
      </c>
      <c r="AH11" s="94"/>
    </row>
    <row r="12" spans="1:35" x14ac:dyDescent="0.35">
      <c r="A12" s="71">
        <v>11</v>
      </c>
      <c r="B12" s="92" t="s">
        <v>102</v>
      </c>
      <c r="C12" s="96" t="s">
        <v>103</v>
      </c>
      <c r="D12" s="71" t="s">
        <v>36</v>
      </c>
      <c r="E12" s="93" t="s">
        <v>50</v>
      </c>
      <c r="F12" s="71" t="s">
        <v>55</v>
      </c>
      <c r="G12" s="71" t="s">
        <v>56</v>
      </c>
      <c r="H12" s="71" t="s">
        <v>39</v>
      </c>
      <c r="I12" s="94" t="s">
        <v>39</v>
      </c>
      <c r="J12" s="94" t="s">
        <v>57</v>
      </c>
      <c r="K12" s="95">
        <v>45936</v>
      </c>
      <c r="L12" s="71" t="s">
        <v>45</v>
      </c>
      <c r="M12" s="71" t="s">
        <v>40</v>
      </c>
      <c r="N12" s="94" t="s">
        <v>59</v>
      </c>
      <c r="O12" s="98" t="s">
        <v>69</v>
      </c>
      <c r="P12" s="98" t="s">
        <v>70</v>
      </c>
      <c r="Q12" s="94" t="s">
        <v>71</v>
      </c>
      <c r="R12" s="71" t="s">
        <v>61</v>
      </c>
      <c r="S12" s="99" t="s">
        <v>45</v>
      </c>
      <c r="T12" s="71" t="s">
        <v>45</v>
      </c>
      <c r="U12" s="71" t="s">
        <v>45</v>
      </c>
      <c r="V12" s="71" t="s">
        <v>45</v>
      </c>
      <c r="W12" s="71" t="s">
        <v>45</v>
      </c>
      <c r="X12" s="71" t="s">
        <v>45</v>
      </c>
      <c r="Y12" s="71" t="s">
        <v>45</v>
      </c>
      <c r="Z12" s="71" t="s">
        <v>45</v>
      </c>
      <c r="AA12" s="71" t="s">
        <v>63</v>
      </c>
      <c r="AB12" s="71" t="s">
        <v>45</v>
      </c>
      <c r="AC12" s="71" t="s">
        <v>45</v>
      </c>
      <c r="AD12" s="71" t="s">
        <v>64</v>
      </c>
      <c r="AE12" s="100" t="s">
        <v>65</v>
      </c>
      <c r="AF12" s="71"/>
      <c r="AG12" s="94">
        <v>9994337872</v>
      </c>
      <c r="AH12" s="94"/>
    </row>
    <row r="13" spans="1:35" ht="101.5" x14ac:dyDescent="0.35">
      <c r="A13" s="71">
        <v>12</v>
      </c>
      <c r="B13" s="92" t="s">
        <v>104</v>
      </c>
      <c r="C13" s="96" t="s">
        <v>105</v>
      </c>
      <c r="D13" s="71" t="s">
        <v>36</v>
      </c>
      <c r="E13" s="71" t="s">
        <v>50</v>
      </c>
      <c r="F13" s="71" t="s">
        <v>55</v>
      </c>
      <c r="G13" s="71" t="s">
        <v>106</v>
      </c>
      <c r="H13" s="71" t="s">
        <v>39</v>
      </c>
      <c r="I13" s="94" t="s">
        <v>39</v>
      </c>
      <c r="J13" s="94" t="s">
        <v>57</v>
      </c>
      <c r="K13" s="95">
        <v>45931</v>
      </c>
      <c r="L13" s="71" t="s">
        <v>45</v>
      </c>
      <c r="M13" s="71" t="s">
        <v>75</v>
      </c>
      <c r="N13" s="94" t="s">
        <v>59</v>
      </c>
      <c r="O13" s="98" t="s">
        <v>76</v>
      </c>
      <c r="P13" s="98" t="s">
        <v>77</v>
      </c>
      <c r="Q13" s="94" t="s">
        <v>78</v>
      </c>
      <c r="R13" s="71" t="s">
        <v>61</v>
      </c>
      <c r="S13" s="99" t="s">
        <v>45</v>
      </c>
      <c r="T13" s="71" t="s">
        <v>45</v>
      </c>
      <c r="U13" s="71" t="s">
        <v>45</v>
      </c>
      <c r="V13" s="71" t="s">
        <v>62</v>
      </c>
      <c r="W13" s="71" t="s">
        <v>45</v>
      </c>
      <c r="X13" s="71" t="s">
        <v>45</v>
      </c>
      <c r="Y13" s="71" t="s">
        <v>45</v>
      </c>
      <c r="Z13" s="71" t="s">
        <v>45</v>
      </c>
      <c r="AA13" s="71"/>
      <c r="AB13" s="71" t="s">
        <v>45</v>
      </c>
      <c r="AC13" s="71" t="s">
        <v>45</v>
      </c>
      <c r="AD13" s="71" t="s">
        <v>62</v>
      </c>
      <c r="AE13" s="100" t="s">
        <v>107</v>
      </c>
      <c r="AF13" s="71"/>
      <c r="AG13" s="94">
        <v>9876683597</v>
      </c>
      <c r="AH13" s="94"/>
    </row>
    <row r="14" spans="1:35" x14ac:dyDescent="0.35">
      <c r="A14" s="87">
        <v>13</v>
      </c>
      <c r="B14" s="109" t="s">
        <v>108</v>
      </c>
      <c r="C14" s="105" t="s">
        <v>109</v>
      </c>
      <c r="D14" s="87" t="s">
        <v>36</v>
      </c>
      <c r="E14" s="87" t="s">
        <v>37</v>
      </c>
      <c r="F14" s="87" t="s">
        <v>55</v>
      </c>
      <c r="G14" s="87" t="s">
        <v>56</v>
      </c>
      <c r="H14" s="110" t="s">
        <v>39</v>
      </c>
      <c r="I14" s="89" t="s">
        <v>39</v>
      </c>
      <c r="J14" s="89" t="s">
        <v>57</v>
      </c>
      <c r="K14" s="90">
        <v>45957</v>
      </c>
      <c r="L14" s="87" t="s">
        <v>45</v>
      </c>
      <c r="M14" s="87" t="s">
        <v>110</v>
      </c>
      <c r="N14" s="87" t="s">
        <v>59</v>
      </c>
      <c r="O14" s="87"/>
      <c r="P14" s="87"/>
      <c r="Q14" s="87"/>
      <c r="R14" s="87" t="s">
        <v>61</v>
      </c>
      <c r="S14" s="87" t="s">
        <v>45</v>
      </c>
      <c r="T14" s="87" t="s">
        <v>45</v>
      </c>
      <c r="U14" s="87" t="s">
        <v>45</v>
      </c>
      <c r="V14" s="87" t="s">
        <v>62</v>
      </c>
      <c r="W14" s="87" t="s">
        <v>63</v>
      </c>
      <c r="X14" s="87"/>
      <c r="Y14" s="87"/>
      <c r="Z14" s="87"/>
      <c r="AA14" s="87"/>
      <c r="AB14" s="87" t="s">
        <v>45</v>
      </c>
      <c r="AC14" s="87" t="s">
        <v>45</v>
      </c>
      <c r="AD14" s="87" t="s">
        <v>64</v>
      </c>
      <c r="AE14" s="87"/>
      <c r="AF14" s="91">
        <v>46038</v>
      </c>
      <c r="AG14" s="89">
        <v>9962878919</v>
      </c>
      <c r="AH14" s="89"/>
    </row>
    <row r="15" spans="1:35" x14ac:dyDescent="0.35">
      <c r="A15" s="71">
        <v>14</v>
      </c>
      <c r="B15" s="92" t="s">
        <v>111</v>
      </c>
      <c r="C15" s="96" t="s">
        <v>112</v>
      </c>
      <c r="D15" s="71" t="s">
        <v>36</v>
      </c>
      <c r="E15" s="93" t="s">
        <v>50</v>
      </c>
      <c r="F15" s="71" t="s">
        <v>55</v>
      </c>
      <c r="G15" s="71" t="s">
        <v>51</v>
      </c>
      <c r="H15" s="71" t="s">
        <v>52</v>
      </c>
      <c r="I15" s="94" t="s">
        <v>52</v>
      </c>
      <c r="J15" s="94" t="s">
        <v>68</v>
      </c>
      <c r="K15" s="95">
        <v>45943</v>
      </c>
      <c r="L15" s="71" t="s">
        <v>45</v>
      </c>
      <c r="M15" s="71" t="s">
        <v>113</v>
      </c>
      <c r="N15" s="71" t="s">
        <v>114</v>
      </c>
      <c r="O15" s="71" t="s">
        <v>114</v>
      </c>
      <c r="P15" s="71" t="s">
        <v>115</v>
      </c>
      <c r="Q15" s="71" t="s">
        <v>116</v>
      </c>
      <c r="R15" s="71" t="s">
        <v>61</v>
      </c>
      <c r="S15" s="71" t="s">
        <v>45</v>
      </c>
      <c r="T15" s="71" t="s">
        <v>45</v>
      </c>
      <c r="U15" s="71" t="s">
        <v>45</v>
      </c>
      <c r="V15" s="71" t="s">
        <v>45</v>
      </c>
      <c r="W15" s="71"/>
      <c r="X15" s="71"/>
      <c r="Y15" s="71" t="s">
        <v>45</v>
      </c>
      <c r="Z15" s="71" t="s">
        <v>45</v>
      </c>
      <c r="AA15" s="71"/>
      <c r="AB15" s="71" t="s">
        <v>45</v>
      </c>
      <c r="AC15" s="71" t="s">
        <v>45</v>
      </c>
      <c r="AD15" s="71" t="s">
        <v>62</v>
      </c>
      <c r="AE15" s="71"/>
      <c r="AF15" s="71"/>
      <c r="AG15" s="111">
        <v>8179032484</v>
      </c>
      <c r="AH15" s="94"/>
    </row>
    <row r="16" spans="1:35" x14ac:dyDescent="0.35">
      <c r="A16" s="71">
        <v>15</v>
      </c>
      <c r="B16" s="112" t="s">
        <v>117</v>
      </c>
      <c r="C16" s="96" t="s">
        <v>118</v>
      </c>
      <c r="D16" s="71" t="s">
        <v>36</v>
      </c>
      <c r="E16" s="93" t="s">
        <v>50</v>
      </c>
      <c r="F16" s="71" t="s">
        <v>55</v>
      </c>
      <c r="G16" s="71" t="s">
        <v>51</v>
      </c>
      <c r="H16" s="71" t="s">
        <v>52</v>
      </c>
      <c r="I16" s="113" t="s">
        <v>52</v>
      </c>
      <c r="J16" s="94" t="s">
        <v>68</v>
      </c>
      <c r="K16" s="95">
        <v>45978</v>
      </c>
      <c r="L16" s="71" t="s">
        <v>45</v>
      </c>
      <c r="M16" s="71" t="s">
        <v>119</v>
      </c>
      <c r="N16" s="6" t="s">
        <v>87</v>
      </c>
      <c r="O16" s="104" t="s">
        <v>88</v>
      </c>
      <c r="P16" s="6"/>
      <c r="Q16" s="6" t="s">
        <v>89</v>
      </c>
      <c r="R16" s="71" t="s">
        <v>61</v>
      </c>
      <c r="S16" s="71" t="s">
        <v>45</v>
      </c>
      <c r="T16" s="71" t="s">
        <v>45</v>
      </c>
      <c r="U16" s="71" t="s">
        <v>45</v>
      </c>
      <c r="V16" s="71" t="s">
        <v>45</v>
      </c>
      <c r="W16" s="71" t="s">
        <v>45</v>
      </c>
      <c r="X16" s="71" t="s">
        <v>45</v>
      </c>
      <c r="Y16" s="71" t="s">
        <v>45</v>
      </c>
      <c r="Z16" s="71" t="s">
        <v>45</v>
      </c>
      <c r="AA16" s="71"/>
      <c r="AB16" s="71" t="s">
        <v>45</v>
      </c>
      <c r="AC16" s="71" t="s">
        <v>45</v>
      </c>
      <c r="AD16" s="71" t="s">
        <v>62</v>
      </c>
      <c r="AE16" s="100"/>
      <c r="AF16" s="71"/>
      <c r="AG16" s="94">
        <v>8498908630</v>
      </c>
      <c r="AH16" s="94"/>
    </row>
    <row r="17" spans="1:34" x14ac:dyDescent="0.35">
      <c r="A17" s="71">
        <v>16</v>
      </c>
      <c r="B17" s="71" t="s">
        <v>120</v>
      </c>
      <c r="C17" s="96" t="s">
        <v>121</v>
      </c>
      <c r="D17" s="71" t="s">
        <v>36</v>
      </c>
      <c r="E17" s="93" t="s">
        <v>50</v>
      </c>
      <c r="F17" s="71" t="s">
        <v>55</v>
      </c>
      <c r="G17" t="s">
        <v>101</v>
      </c>
      <c r="H17" s="114" t="s">
        <v>122</v>
      </c>
      <c r="I17" s="115" t="s">
        <v>122</v>
      </c>
      <c r="J17" s="97" t="s">
        <v>57</v>
      </c>
      <c r="K17" s="95">
        <v>45961</v>
      </c>
      <c r="L17" s="71" t="s">
        <v>45</v>
      </c>
      <c r="M17" s="71" t="s">
        <v>123</v>
      </c>
      <c r="N17" s="71" t="s">
        <v>124</v>
      </c>
      <c r="O17" t="s">
        <v>125</v>
      </c>
      <c r="P17" s="71" t="s">
        <v>124</v>
      </c>
      <c r="Q17" s="71" t="s">
        <v>126</v>
      </c>
      <c r="R17" s="71" t="s">
        <v>83</v>
      </c>
      <c r="S17" s="71" t="s">
        <v>45</v>
      </c>
      <c r="T17" s="71" t="s">
        <v>45</v>
      </c>
      <c r="U17" s="71" t="s">
        <v>62</v>
      </c>
      <c r="V17" s="71" t="s">
        <v>62</v>
      </c>
      <c r="W17" s="71" t="s">
        <v>63</v>
      </c>
      <c r="X17" s="71" t="s">
        <v>63</v>
      </c>
      <c r="Y17" s="71" t="s">
        <v>45</v>
      </c>
      <c r="Z17" s="71" t="s">
        <v>45</v>
      </c>
      <c r="AA17" s="71" t="s">
        <v>63</v>
      </c>
      <c r="AB17" s="71" t="s">
        <v>45</v>
      </c>
      <c r="AC17" s="71" t="s">
        <v>127</v>
      </c>
      <c r="AD17" s="71" t="s">
        <v>62</v>
      </c>
      <c r="AE17" s="71" t="s">
        <v>128</v>
      </c>
      <c r="AF17" s="71"/>
      <c r="AG17" s="94">
        <v>7697290696</v>
      </c>
      <c r="AH17" s="94"/>
    </row>
    <row r="18" spans="1:34" x14ac:dyDescent="0.35">
      <c r="A18" s="71">
        <v>17</v>
      </c>
      <c r="B18" s="102" t="s">
        <v>129</v>
      </c>
      <c r="C18" s="96" t="s">
        <v>130</v>
      </c>
      <c r="D18" s="71" t="s">
        <v>36</v>
      </c>
      <c r="E18" s="93" t="s">
        <v>50</v>
      </c>
      <c r="F18" s="71" t="s">
        <v>55</v>
      </c>
      <c r="G18" t="s">
        <v>101</v>
      </c>
      <c r="H18" s="71" t="s">
        <v>52</v>
      </c>
      <c r="I18" s="116" t="s">
        <v>52</v>
      </c>
      <c r="J18" s="94" t="s">
        <v>68</v>
      </c>
      <c r="K18" s="95">
        <v>45943</v>
      </c>
      <c r="L18" s="71" t="s">
        <v>45</v>
      </c>
      <c r="M18" s="71" t="s">
        <v>40</v>
      </c>
      <c r="N18" s="94" t="s">
        <v>41</v>
      </c>
      <c r="O18" s="94" t="s">
        <v>42</v>
      </c>
      <c r="P18" s="94" t="s">
        <v>131</v>
      </c>
      <c r="Q18" s="94" t="s">
        <v>132</v>
      </c>
      <c r="R18" s="71" t="s">
        <v>83</v>
      </c>
      <c r="S18" s="71" t="s">
        <v>45</v>
      </c>
      <c r="T18" s="71" t="s">
        <v>45</v>
      </c>
      <c r="U18" s="71" t="s">
        <v>45</v>
      </c>
      <c r="V18" s="71" t="s">
        <v>45</v>
      </c>
      <c r="W18" s="71"/>
      <c r="X18" s="71" t="s">
        <v>45</v>
      </c>
      <c r="Y18" s="71" t="s">
        <v>45</v>
      </c>
      <c r="Z18" s="71" t="s">
        <v>45</v>
      </c>
      <c r="AA18" s="71"/>
      <c r="AB18" s="71" t="s">
        <v>45</v>
      </c>
      <c r="AC18" s="71" t="s">
        <v>45</v>
      </c>
      <c r="AD18" s="71" t="s">
        <v>64</v>
      </c>
      <c r="AE18" s="71"/>
      <c r="AF18" s="71"/>
      <c r="AG18" s="94">
        <v>9167437292</v>
      </c>
      <c r="AH18" s="94"/>
    </row>
    <row r="19" spans="1:34" x14ac:dyDescent="0.35">
      <c r="A19" s="71">
        <v>18</v>
      </c>
      <c r="B19" s="117" t="s">
        <v>133</v>
      </c>
      <c r="C19" s="118" t="s">
        <v>134</v>
      </c>
      <c r="D19" s="71" t="s">
        <v>36</v>
      </c>
      <c r="E19" s="71" t="s">
        <v>50</v>
      </c>
      <c r="F19" s="71" t="s">
        <v>55</v>
      </c>
      <c r="G19" s="71" t="s">
        <v>56</v>
      </c>
      <c r="H19" s="94" t="s">
        <v>135</v>
      </c>
      <c r="I19" s="94" t="s">
        <v>135</v>
      </c>
      <c r="J19" s="94" t="s">
        <v>68</v>
      </c>
      <c r="K19" s="95">
        <v>45961</v>
      </c>
      <c r="L19" s="71" t="s">
        <v>45</v>
      </c>
      <c r="M19" s="71" t="s">
        <v>119</v>
      </c>
      <c r="N19" s="6" t="s">
        <v>87</v>
      </c>
      <c r="O19" s="104" t="s">
        <v>88</v>
      </c>
      <c r="P19" s="6"/>
      <c r="Q19" s="6" t="s">
        <v>89</v>
      </c>
      <c r="R19" s="71" t="s">
        <v>61</v>
      </c>
      <c r="S19" s="71" t="s">
        <v>45</v>
      </c>
      <c r="T19" s="71" t="s">
        <v>45</v>
      </c>
      <c r="U19" s="71" t="s">
        <v>45</v>
      </c>
      <c r="V19" s="71" t="s">
        <v>45</v>
      </c>
      <c r="W19" s="71" t="s">
        <v>45</v>
      </c>
      <c r="X19" s="71" t="s">
        <v>45</v>
      </c>
      <c r="Y19" s="71" t="s">
        <v>45</v>
      </c>
      <c r="Z19" s="71" t="s">
        <v>45</v>
      </c>
      <c r="AA19" s="71"/>
      <c r="AB19" s="71" t="s">
        <v>45</v>
      </c>
      <c r="AC19" s="71" t="s">
        <v>45</v>
      </c>
      <c r="AD19" s="119" t="s">
        <v>62</v>
      </c>
      <c r="AE19" s="71" t="s">
        <v>136</v>
      </c>
      <c r="AF19" s="71"/>
      <c r="AG19" s="94">
        <v>9392318493</v>
      </c>
      <c r="AH19" s="94"/>
    </row>
    <row r="20" spans="1:34" x14ac:dyDescent="0.35">
      <c r="A20" s="71">
        <v>19</v>
      </c>
      <c r="B20" s="92" t="s">
        <v>137</v>
      </c>
      <c r="C20" s="120" t="s">
        <v>138</v>
      </c>
      <c r="D20" s="119" t="s">
        <v>36</v>
      </c>
      <c r="E20" s="119" t="s">
        <v>50</v>
      </c>
      <c r="F20" s="71" t="s">
        <v>55</v>
      </c>
      <c r="G20" s="71" t="s">
        <v>51</v>
      </c>
      <c r="H20" s="71" t="s">
        <v>135</v>
      </c>
      <c r="I20" s="94" t="s">
        <v>135</v>
      </c>
      <c r="J20" s="94" t="s">
        <v>57</v>
      </c>
      <c r="K20" s="121">
        <v>45971</v>
      </c>
      <c r="L20" s="119" t="s">
        <v>45</v>
      </c>
      <c r="M20" s="71" t="s">
        <v>119</v>
      </c>
      <c r="N20" s="122" t="s">
        <v>87</v>
      </c>
      <c r="O20" s="104" t="s">
        <v>88</v>
      </c>
      <c r="P20" s="122"/>
      <c r="Q20" s="122" t="s">
        <v>89</v>
      </c>
      <c r="R20" s="71" t="s">
        <v>61</v>
      </c>
      <c r="S20" s="119" t="s">
        <v>45</v>
      </c>
      <c r="T20" s="71" t="s">
        <v>45</v>
      </c>
      <c r="U20" s="119" t="s">
        <v>45</v>
      </c>
      <c r="V20" s="119" t="s">
        <v>45</v>
      </c>
      <c r="W20" s="119" t="s">
        <v>45</v>
      </c>
      <c r="X20" s="119" t="s">
        <v>45</v>
      </c>
      <c r="Y20" s="119" t="s">
        <v>45</v>
      </c>
      <c r="Z20" s="119" t="s">
        <v>45</v>
      </c>
      <c r="AA20" s="119"/>
      <c r="AB20" s="119" t="s">
        <v>45</v>
      </c>
      <c r="AC20" s="119" t="s">
        <v>45</v>
      </c>
      <c r="AD20" s="119" t="s">
        <v>62</v>
      </c>
      <c r="AE20" s="119"/>
      <c r="AF20" s="119"/>
      <c r="AG20" s="94">
        <v>9844891637</v>
      </c>
      <c r="AH20" s="94"/>
    </row>
    <row r="21" spans="1:34" x14ac:dyDescent="0.35">
      <c r="A21" s="87">
        <v>20</v>
      </c>
      <c r="B21" s="87" t="s">
        <v>139</v>
      </c>
      <c r="C21" s="105" t="s">
        <v>140</v>
      </c>
      <c r="D21" s="87" t="s">
        <v>36</v>
      </c>
      <c r="E21" s="87" t="s">
        <v>37</v>
      </c>
      <c r="F21" s="87" t="s">
        <v>55</v>
      </c>
      <c r="G21" s="87" t="s">
        <v>51</v>
      </c>
      <c r="H21" s="87" t="s">
        <v>135</v>
      </c>
      <c r="I21" s="89" t="s">
        <v>135</v>
      </c>
      <c r="J21" s="89" t="s">
        <v>57</v>
      </c>
      <c r="K21" s="90">
        <v>45967</v>
      </c>
      <c r="L21" s="87" t="s">
        <v>45</v>
      </c>
      <c r="M21" s="87" t="s">
        <v>86</v>
      </c>
      <c r="N21" s="123" t="s">
        <v>87</v>
      </c>
      <c r="O21" s="124" t="s">
        <v>88</v>
      </c>
      <c r="P21" s="123"/>
      <c r="Q21" s="123" t="s">
        <v>141</v>
      </c>
      <c r="R21" s="87" t="s">
        <v>83</v>
      </c>
      <c r="S21" s="87" t="s">
        <v>45</v>
      </c>
      <c r="T21" s="87" t="s">
        <v>83</v>
      </c>
      <c r="U21" s="87" t="s">
        <v>45</v>
      </c>
      <c r="V21" s="87" t="s">
        <v>45</v>
      </c>
      <c r="W21" s="87" t="s">
        <v>45</v>
      </c>
      <c r="X21" s="87"/>
      <c r="Y21" s="87"/>
      <c r="Z21" s="87"/>
      <c r="AA21" s="87"/>
      <c r="AB21" s="87" t="s">
        <v>45</v>
      </c>
      <c r="AC21" s="87" t="s">
        <v>45</v>
      </c>
      <c r="AD21" s="87" t="s">
        <v>62</v>
      </c>
      <c r="AE21" s="87" t="s">
        <v>142</v>
      </c>
      <c r="AF21" s="91">
        <v>46146</v>
      </c>
      <c r="AG21" s="89">
        <v>8106623322</v>
      </c>
      <c r="AH21" s="89"/>
    </row>
    <row r="22" spans="1:34" x14ac:dyDescent="0.35">
      <c r="A22" s="71">
        <v>21</v>
      </c>
      <c r="B22" s="71" t="s">
        <v>143</v>
      </c>
      <c r="C22" s="96" t="s">
        <v>144</v>
      </c>
      <c r="D22" s="71" t="s">
        <v>36</v>
      </c>
      <c r="E22" s="71" t="s">
        <v>50</v>
      </c>
      <c r="F22" s="71" t="s">
        <v>55</v>
      </c>
      <c r="G22" s="71" t="s">
        <v>56</v>
      </c>
      <c r="H22" s="71" t="s">
        <v>52</v>
      </c>
      <c r="I22" s="113" t="s">
        <v>52</v>
      </c>
      <c r="J22" s="94" t="s">
        <v>68</v>
      </c>
      <c r="K22" s="95">
        <v>45957</v>
      </c>
      <c r="L22" s="71" t="s">
        <v>45</v>
      </c>
      <c r="M22" s="71" t="s">
        <v>40</v>
      </c>
      <c r="N22" s="94" t="s">
        <v>59</v>
      </c>
      <c r="O22" s="98" t="s">
        <v>145</v>
      </c>
      <c r="P22" s="98" t="s">
        <v>146</v>
      </c>
      <c r="Q22" s="94" t="s">
        <v>126</v>
      </c>
      <c r="R22" s="71" t="s">
        <v>61</v>
      </c>
      <c r="S22" s="71" t="s">
        <v>45</v>
      </c>
      <c r="T22" s="71" t="s">
        <v>45</v>
      </c>
      <c r="U22" s="71" t="s">
        <v>45</v>
      </c>
      <c r="V22" s="71" t="s">
        <v>45</v>
      </c>
      <c r="W22" s="71" t="s">
        <v>45</v>
      </c>
      <c r="X22" s="71" t="s">
        <v>45</v>
      </c>
      <c r="Y22" s="71" t="s">
        <v>45</v>
      </c>
      <c r="Z22" s="71" t="s">
        <v>45</v>
      </c>
      <c r="AA22" s="71"/>
      <c r="AB22" s="71" t="s">
        <v>45</v>
      </c>
      <c r="AC22" s="71" t="s">
        <v>127</v>
      </c>
      <c r="AD22" s="71" t="s">
        <v>64</v>
      </c>
      <c r="AE22" s="71"/>
      <c r="AF22" s="71"/>
      <c r="AG22" s="94">
        <v>9179729147</v>
      </c>
      <c r="AH22" s="94"/>
    </row>
    <row r="23" spans="1:34" x14ac:dyDescent="0.35">
      <c r="A23" s="71">
        <v>22</v>
      </c>
      <c r="B23" s="92" t="s">
        <v>147</v>
      </c>
      <c r="C23" s="118" t="s">
        <v>148</v>
      </c>
      <c r="D23" s="71" t="s">
        <v>36</v>
      </c>
      <c r="E23" s="71" t="s">
        <v>50</v>
      </c>
      <c r="F23" s="71" t="s">
        <v>55</v>
      </c>
      <c r="G23" s="71" t="s">
        <v>51</v>
      </c>
      <c r="H23" t="s">
        <v>149</v>
      </c>
      <c r="I23" s="115" t="s">
        <v>149</v>
      </c>
      <c r="J23" s="97" t="s">
        <v>68</v>
      </c>
      <c r="K23" s="95">
        <v>45964</v>
      </c>
      <c r="L23" s="71" t="s">
        <v>45</v>
      </c>
      <c r="M23" s="71" t="s">
        <v>119</v>
      </c>
      <c r="N23" s="6" t="s">
        <v>87</v>
      </c>
      <c r="O23" s="104" t="s">
        <v>88</v>
      </c>
      <c r="P23" s="6"/>
      <c r="Q23" s="6" t="s">
        <v>141</v>
      </c>
      <c r="R23" s="71" t="s">
        <v>150</v>
      </c>
      <c r="S23" s="71" t="s">
        <v>45</v>
      </c>
      <c r="T23" s="71" t="s">
        <v>45</v>
      </c>
      <c r="U23" s="71" t="s">
        <v>45</v>
      </c>
      <c r="V23" s="71" t="s">
        <v>45</v>
      </c>
      <c r="W23" s="71" t="s">
        <v>45</v>
      </c>
      <c r="X23" s="71" t="s">
        <v>45</v>
      </c>
      <c r="Y23" s="71" t="s">
        <v>45</v>
      </c>
      <c r="Z23" s="71" t="s">
        <v>45</v>
      </c>
      <c r="AA23" s="71" t="s">
        <v>45</v>
      </c>
      <c r="AB23" s="71" t="s">
        <v>45</v>
      </c>
      <c r="AC23" s="71" t="s">
        <v>45</v>
      </c>
      <c r="AD23" s="119" t="s">
        <v>62</v>
      </c>
      <c r="AE23" s="71" t="s">
        <v>151</v>
      </c>
      <c r="AF23" s="71"/>
      <c r="AG23" s="94">
        <v>8019400876</v>
      </c>
      <c r="AH23" s="94"/>
    </row>
    <row r="24" spans="1:34" x14ac:dyDescent="0.35">
      <c r="A24" s="71">
        <v>23</v>
      </c>
      <c r="B24" s="92" t="s">
        <v>152</v>
      </c>
      <c r="C24" s="96" t="s">
        <v>153</v>
      </c>
      <c r="D24" s="71" t="s">
        <v>36</v>
      </c>
      <c r="E24" s="93" t="s">
        <v>50</v>
      </c>
      <c r="F24" s="71" t="s">
        <v>55</v>
      </c>
      <c r="G24" t="s">
        <v>101</v>
      </c>
      <c r="H24" s="71" t="s">
        <v>68</v>
      </c>
      <c r="I24" s="116" t="s">
        <v>135</v>
      </c>
      <c r="J24" s="94" t="s">
        <v>68</v>
      </c>
      <c r="K24" s="95">
        <v>45957</v>
      </c>
      <c r="L24" s="71" t="s">
        <v>45</v>
      </c>
      <c r="M24" s="71" t="s">
        <v>40</v>
      </c>
      <c r="N24" s="94" t="s">
        <v>41</v>
      </c>
      <c r="O24" s="94" t="s">
        <v>42</v>
      </c>
      <c r="P24" s="94" t="s">
        <v>131</v>
      </c>
      <c r="Q24" s="94" t="s">
        <v>132</v>
      </c>
      <c r="R24" s="71" t="s">
        <v>83</v>
      </c>
      <c r="S24" s="71" t="s">
        <v>45</v>
      </c>
      <c r="T24" s="71" t="s">
        <v>45</v>
      </c>
      <c r="U24" s="71" t="s">
        <v>45</v>
      </c>
      <c r="V24" s="71" t="s">
        <v>45</v>
      </c>
      <c r="W24" s="71"/>
      <c r="X24" s="71"/>
      <c r="Y24" s="71"/>
      <c r="Z24" s="71"/>
      <c r="AA24" s="71"/>
      <c r="AB24" s="71" t="s">
        <v>45</v>
      </c>
      <c r="AC24" s="71" t="s">
        <v>45</v>
      </c>
      <c r="AD24" s="71" t="s">
        <v>154</v>
      </c>
      <c r="AE24" s="71" t="s">
        <v>151</v>
      </c>
      <c r="AF24" s="71"/>
      <c r="AG24" s="94">
        <v>9725240030</v>
      </c>
      <c r="AH24" s="94"/>
    </row>
    <row r="25" spans="1:34" x14ac:dyDescent="0.35">
      <c r="A25" s="71">
        <v>24</v>
      </c>
      <c r="B25" s="92" t="s">
        <v>155</v>
      </c>
      <c r="C25" s="96" t="s">
        <v>156</v>
      </c>
      <c r="D25" s="71" t="s">
        <v>36</v>
      </c>
      <c r="E25" s="93" t="s">
        <v>50</v>
      </c>
      <c r="F25" s="71" t="s">
        <v>55</v>
      </c>
      <c r="G25" s="71" t="s">
        <v>51</v>
      </c>
      <c r="H25" s="71" t="s">
        <v>157</v>
      </c>
      <c r="I25" s="94" t="s">
        <v>157</v>
      </c>
      <c r="J25" s="94" t="s">
        <v>158</v>
      </c>
      <c r="K25" s="95">
        <v>45924</v>
      </c>
      <c r="L25" s="71" t="s">
        <v>45</v>
      </c>
      <c r="M25" s="71" t="s">
        <v>123</v>
      </c>
      <c r="N25" s="71" t="s">
        <v>124</v>
      </c>
      <c r="O25" t="s">
        <v>125</v>
      </c>
      <c r="P25" s="71" t="s">
        <v>124</v>
      </c>
      <c r="Q25" s="71" t="s">
        <v>159</v>
      </c>
      <c r="R25" s="71" t="s">
        <v>61</v>
      </c>
      <c r="S25" s="71" t="s">
        <v>45</v>
      </c>
      <c r="T25" s="71" t="s">
        <v>45</v>
      </c>
      <c r="U25" s="71" t="s">
        <v>62</v>
      </c>
      <c r="V25" s="71" t="s">
        <v>62</v>
      </c>
      <c r="W25" s="71" t="s">
        <v>63</v>
      </c>
      <c r="X25" s="71" t="s">
        <v>62</v>
      </c>
      <c r="Y25" s="71" t="s">
        <v>62</v>
      </c>
      <c r="Z25" s="71" t="s">
        <v>62</v>
      </c>
      <c r="AA25" s="71" t="s">
        <v>62</v>
      </c>
      <c r="AB25" s="71" t="s">
        <v>45</v>
      </c>
      <c r="AC25" s="71" t="s">
        <v>45</v>
      </c>
      <c r="AD25" s="71" t="s">
        <v>64</v>
      </c>
      <c r="AE25" s="71"/>
      <c r="AF25" s="71"/>
      <c r="AG25" s="94">
        <v>8008070456</v>
      </c>
      <c r="AH25" s="94"/>
    </row>
    <row r="26" spans="1:34" x14ac:dyDescent="0.35">
      <c r="A26" s="71">
        <v>25</v>
      </c>
      <c r="B26" s="92" t="s">
        <v>160</v>
      </c>
      <c r="C26" s="96" t="s">
        <v>161</v>
      </c>
      <c r="D26" s="71" t="s">
        <v>36</v>
      </c>
      <c r="E26" t="s">
        <v>50</v>
      </c>
      <c r="F26" s="71" t="s">
        <v>55</v>
      </c>
      <c r="G26" t="s">
        <v>101</v>
      </c>
      <c r="H26" s="71" t="s">
        <v>157</v>
      </c>
      <c r="I26" s="94" t="s">
        <v>157</v>
      </c>
      <c r="J26" s="94" t="s">
        <v>158</v>
      </c>
      <c r="K26" s="95">
        <v>45922</v>
      </c>
      <c r="L26" s="71" t="s">
        <v>45</v>
      </c>
      <c r="M26" s="71" t="s">
        <v>40</v>
      </c>
      <c r="N26" s="94" t="s">
        <v>59</v>
      </c>
      <c r="O26" s="94" t="s">
        <v>76</v>
      </c>
      <c r="P26" s="94"/>
      <c r="Q26" s="94"/>
      <c r="R26" s="71" t="s">
        <v>61</v>
      </c>
      <c r="S26" s="71" t="s">
        <v>45</v>
      </c>
      <c r="T26" s="71" t="s">
        <v>127</v>
      </c>
      <c r="U26" s="71" t="s">
        <v>45</v>
      </c>
      <c r="V26" s="71" t="s">
        <v>45</v>
      </c>
      <c r="W26" s="71" t="s">
        <v>63</v>
      </c>
      <c r="X26" s="71" t="s">
        <v>45</v>
      </c>
      <c r="Y26" s="71" t="s">
        <v>45</v>
      </c>
      <c r="Z26" s="71" t="s">
        <v>45</v>
      </c>
      <c r="AA26" s="71"/>
      <c r="AB26" s="71" t="s">
        <v>45</v>
      </c>
      <c r="AC26" s="71" t="s">
        <v>127</v>
      </c>
      <c r="AD26" s="71" t="s">
        <v>64</v>
      </c>
      <c r="AE26" s="71"/>
      <c r="AF26" s="71"/>
      <c r="AG26" s="94">
        <v>9619484828</v>
      </c>
    </row>
    <row r="27" spans="1:34" x14ac:dyDescent="0.35">
      <c r="A27" s="71">
        <v>26</v>
      </c>
      <c r="B27" s="92" t="s">
        <v>162</v>
      </c>
      <c r="C27" s="96" t="s">
        <v>163</v>
      </c>
      <c r="D27" s="71" t="s">
        <v>36</v>
      </c>
      <c r="E27" s="71" t="s">
        <v>50</v>
      </c>
      <c r="F27" s="71" t="s">
        <v>55</v>
      </c>
      <c r="G27" s="71" t="s">
        <v>51</v>
      </c>
      <c r="H27" s="71" t="s">
        <v>39</v>
      </c>
      <c r="I27" s="113" t="s">
        <v>39</v>
      </c>
      <c r="J27" s="94" t="s">
        <v>57</v>
      </c>
      <c r="K27" s="95">
        <v>45959</v>
      </c>
      <c r="L27" s="71" t="s">
        <v>45</v>
      </c>
      <c r="M27" s="71" t="s">
        <v>58</v>
      </c>
      <c r="N27" s="94" t="s">
        <v>59</v>
      </c>
      <c r="O27" s="9" t="s">
        <v>60</v>
      </c>
      <c r="P27" s="94"/>
      <c r="Q27" s="94" t="s">
        <v>58</v>
      </c>
      <c r="R27" s="71" t="s">
        <v>61</v>
      </c>
      <c r="S27" s="71" t="s">
        <v>45</v>
      </c>
      <c r="T27" s="71" t="s">
        <v>45</v>
      </c>
      <c r="U27" s="71" t="s">
        <v>45</v>
      </c>
      <c r="V27" s="71" t="s">
        <v>62</v>
      </c>
      <c r="W27" s="71" t="s">
        <v>45</v>
      </c>
      <c r="X27" s="71" t="s">
        <v>45</v>
      </c>
      <c r="Y27" s="71" t="s">
        <v>45</v>
      </c>
      <c r="Z27" s="71" t="s">
        <v>45</v>
      </c>
      <c r="AA27" s="71" t="s">
        <v>63</v>
      </c>
      <c r="AB27" s="71" t="s">
        <v>62</v>
      </c>
      <c r="AC27" s="71" t="s">
        <v>45</v>
      </c>
      <c r="AD27" s="71" t="s">
        <v>154</v>
      </c>
      <c r="AE27" s="71" t="s">
        <v>65</v>
      </c>
      <c r="AF27" s="71"/>
      <c r="AG27" s="94">
        <v>9494805883</v>
      </c>
      <c r="AH27" s="94"/>
    </row>
    <row r="28" spans="1:34" x14ac:dyDescent="0.35">
      <c r="A28" s="71">
        <v>27</v>
      </c>
      <c r="B28" s="117" t="s">
        <v>164</v>
      </c>
      <c r="C28" s="101" t="s">
        <v>165</v>
      </c>
      <c r="D28" s="71" t="s">
        <v>36</v>
      </c>
      <c r="E28" s="93" t="s">
        <v>50</v>
      </c>
      <c r="F28" s="71" t="s">
        <v>55</v>
      </c>
      <c r="G28" s="71" t="s">
        <v>56</v>
      </c>
      <c r="H28" s="114" t="s">
        <v>68</v>
      </c>
      <c r="I28" s="115" t="s">
        <v>166</v>
      </c>
      <c r="J28" s="125" t="s">
        <v>68</v>
      </c>
      <c r="K28" s="95">
        <v>45988</v>
      </c>
      <c r="L28" s="71" t="s">
        <v>45</v>
      </c>
      <c r="M28" s="71" t="s">
        <v>40</v>
      </c>
      <c r="N28" s="94" t="s">
        <v>59</v>
      </c>
      <c r="O28" s="94" t="s">
        <v>167</v>
      </c>
      <c r="P28" s="94" t="s">
        <v>168</v>
      </c>
      <c r="Q28" s="94" t="s">
        <v>169</v>
      </c>
      <c r="R28" s="71" t="s">
        <v>61</v>
      </c>
      <c r="S28" s="71" t="s">
        <v>45</v>
      </c>
      <c r="T28" s="71" t="s">
        <v>45</v>
      </c>
      <c r="U28" s="71" t="s">
        <v>45</v>
      </c>
      <c r="V28" s="71" t="s">
        <v>45</v>
      </c>
      <c r="W28" s="71" t="s">
        <v>45</v>
      </c>
      <c r="X28" s="71" t="s">
        <v>45</v>
      </c>
      <c r="Y28" s="71" t="s">
        <v>45</v>
      </c>
      <c r="Z28" s="71" t="s">
        <v>45</v>
      </c>
      <c r="AA28" s="71" t="s">
        <v>63</v>
      </c>
      <c r="AB28" s="71" t="s">
        <v>45</v>
      </c>
      <c r="AC28" s="71" t="s">
        <v>170</v>
      </c>
      <c r="AD28" s="71" t="s">
        <v>62</v>
      </c>
      <c r="AE28" s="71" t="s">
        <v>171</v>
      </c>
      <c r="AF28" s="71"/>
      <c r="AG28" s="94">
        <v>8707711573</v>
      </c>
      <c r="AH28" s="94"/>
    </row>
    <row r="29" spans="1:34" x14ac:dyDescent="0.35">
      <c r="A29" s="87">
        <v>28</v>
      </c>
      <c r="B29" s="109" t="s">
        <v>172</v>
      </c>
      <c r="C29" s="105" t="s">
        <v>173</v>
      </c>
      <c r="D29" s="87" t="s">
        <v>36</v>
      </c>
      <c r="E29" s="87" t="s">
        <v>37</v>
      </c>
      <c r="F29" s="87" t="s">
        <v>55</v>
      </c>
      <c r="G29" s="87" t="s">
        <v>51</v>
      </c>
      <c r="H29" s="87" t="s">
        <v>52</v>
      </c>
      <c r="I29" s="126" t="s">
        <v>52</v>
      </c>
      <c r="J29" s="89" t="s">
        <v>68</v>
      </c>
      <c r="K29" s="90">
        <v>45960</v>
      </c>
      <c r="L29" s="87" t="s">
        <v>45</v>
      </c>
      <c r="M29" s="87" t="s">
        <v>174</v>
      </c>
      <c r="N29" s="87" t="s">
        <v>59</v>
      </c>
      <c r="O29" s="89" t="s">
        <v>76</v>
      </c>
      <c r="P29" s="87" t="s">
        <v>175</v>
      </c>
      <c r="Q29" s="87" t="s">
        <v>176</v>
      </c>
      <c r="R29" s="87" t="s">
        <v>61</v>
      </c>
      <c r="S29" s="87" t="s">
        <v>45</v>
      </c>
      <c r="T29" s="87" t="s">
        <v>45</v>
      </c>
      <c r="U29" s="87" t="s">
        <v>45</v>
      </c>
      <c r="V29" s="87" t="s">
        <v>45</v>
      </c>
      <c r="W29" s="87" t="s">
        <v>45</v>
      </c>
      <c r="X29" s="87" t="s">
        <v>45</v>
      </c>
      <c r="Y29" s="87" t="s">
        <v>45</v>
      </c>
      <c r="Z29" s="87" t="s">
        <v>45</v>
      </c>
      <c r="AA29" s="87"/>
      <c r="AB29" s="87" t="s">
        <v>45</v>
      </c>
      <c r="AC29" s="87" t="s">
        <v>45</v>
      </c>
      <c r="AD29" s="87" t="s">
        <v>63</v>
      </c>
      <c r="AE29" s="87"/>
      <c r="AF29" s="91">
        <v>46237</v>
      </c>
      <c r="AG29" s="89">
        <v>8096705993</v>
      </c>
      <c r="AH29" s="127"/>
    </row>
    <row r="30" spans="1:34" x14ac:dyDescent="0.35">
      <c r="A30" s="71">
        <v>29</v>
      </c>
      <c r="B30" s="128" t="s">
        <v>177</v>
      </c>
      <c r="C30" s="96" t="s">
        <v>178</v>
      </c>
      <c r="D30" s="71" t="s">
        <v>36</v>
      </c>
      <c r="E30" s="71" t="s">
        <v>50</v>
      </c>
      <c r="F30" s="74" t="s">
        <v>55</v>
      </c>
      <c r="G30" s="74" t="s">
        <v>106</v>
      </c>
      <c r="H30" s="74" t="s">
        <v>57</v>
      </c>
      <c r="I30" s="94" t="s">
        <v>135</v>
      </c>
      <c r="J30" s="94" t="s">
        <v>57</v>
      </c>
      <c r="K30" s="95">
        <v>45953</v>
      </c>
      <c r="L30" s="71" t="s">
        <v>45</v>
      </c>
      <c r="M30" s="71" t="s">
        <v>40</v>
      </c>
      <c r="N30" s="94" t="s">
        <v>41</v>
      </c>
      <c r="O30" s="94" t="s">
        <v>42</v>
      </c>
      <c r="P30" s="94" t="s">
        <v>131</v>
      </c>
      <c r="Q30" s="94" t="s">
        <v>132</v>
      </c>
      <c r="R30" s="71" t="s">
        <v>61</v>
      </c>
      <c r="S30" s="71" t="s">
        <v>45</v>
      </c>
      <c r="T30" s="71" t="s">
        <v>45</v>
      </c>
      <c r="U30" s="71" t="s">
        <v>45</v>
      </c>
      <c r="V30" s="71" t="s">
        <v>45</v>
      </c>
      <c r="W30" s="71" t="s">
        <v>45</v>
      </c>
      <c r="X30" s="71"/>
      <c r="Y30" s="71"/>
      <c r="Z30" s="71"/>
      <c r="AA30" s="71"/>
      <c r="AB30" s="71" t="s">
        <v>45</v>
      </c>
      <c r="AC30" s="71" t="s">
        <v>45</v>
      </c>
      <c r="AD30" s="71" t="s">
        <v>64</v>
      </c>
      <c r="AE30" s="71"/>
      <c r="AF30" s="71"/>
      <c r="AG30" s="94">
        <v>8130044609</v>
      </c>
      <c r="AH30" s="94"/>
    </row>
    <row r="31" spans="1:34" x14ac:dyDescent="0.35">
      <c r="A31" s="71">
        <v>30</v>
      </c>
      <c r="B31" s="117" t="s">
        <v>179</v>
      </c>
      <c r="C31" s="101" t="s">
        <v>180</v>
      </c>
      <c r="D31" s="114" t="s">
        <v>36</v>
      </c>
      <c r="E31" s="6" t="s">
        <v>50</v>
      </c>
      <c r="F31" s="6" t="s">
        <v>55</v>
      </c>
      <c r="G31" s="6" t="s">
        <v>56</v>
      </c>
      <c r="H31" s="6" t="s">
        <v>39</v>
      </c>
      <c r="I31" s="115" t="s">
        <v>39</v>
      </c>
      <c r="J31" s="115" t="s">
        <v>57</v>
      </c>
      <c r="K31" s="134">
        <v>45964</v>
      </c>
      <c r="L31" s="71" t="s">
        <v>45</v>
      </c>
      <c r="M31" s="71" t="s">
        <v>40</v>
      </c>
      <c r="N31" s="94" t="s">
        <v>59</v>
      </c>
      <c r="O31" s="98" t="s">
        <v>145</v>
      </c>
      <c r="P31" s="98" t="s">
        <v>146</v>
      </c>
      <c r="Q31" s="94" t="s">
        <v>126</v>
      </c>
      <c r="R31" s="71" t="s">
        <v>61</v>
      </c>
      <c r="S31" s="71" t="s">
        <v>45</v>
      </c>
      <c r="T31" s="71" t="s">
        <v>45</v>
      </c>
      <c r="U31" s="71" t="s">
        <v>45</v>
      </c>
      <c r="V31" s="71" t="s">
        <v>45</v>
      </c>
      <c r="W31" s="71" t="s">
        <v>45</v>
      </c>
      <c r="X31" s="71" t="s">
        <v>45</v>
      </c>
      <c r="Y31" s="71" t="s">
        <v>45</v>
      </c>
      <c r="Z31" s="71" t="s">
        <v>45</v>
      </c>
      <c r="AA31" s="71"/>
      <c r="AB31" s="71" t="s">
        <v>45</v>
      </c>
      <c r="AC31" s="71" t="s">
        <v>45</v>
      </c>
      <c r="AD31" s="71" t="s">
        <v>154</v>
      </c>
      <c r="AE31" s="71" t="s">
        <v>181</v>
      </c>
      <c r="AF31" s="71"/>
      <c r="AG31" s="94">
        <v>7353336812</v>
      </c>
    </row>
    <row r="32" spans="1:34" x14ac:dyDescent="0.35">
      <c r="A32" s="71">
        <v>31</v>
      </c>
      <c r="B32" s="135" t="s">
        <v>182</v>
      </c>
      <c r="C32" s="96" t="s">
        <v>183</v>
      </c>
      <c r="D32" s="114" t="s">
        <v>36</v>
      </c>
      <c r="E32" s="6" t="s">
        <v>50</v>
      </c>
      <c r="F32" s="6" t="s">
        <v>55</v>
      </c>
      <c r="G32" s="6" t="s">
        <v>56</v>
      </c>
      <c r="H32" s="6" t="s">
        <v>52</v>
      </c>
      <c r="I32" s="115" t="s">
        <v>52</v>
      </c>
      <c r="J32" s="115" t="s">
        <v>68</v>
      </c>
      <c r="K32" s="134">
        <v>45964</v>
      </c>
      <c r="L32" s="71" t="s">
        <v>45</v>
      </c>
      <c r="M32" s="71" t="s">
        <v>40</v>
      </c>
      <c r="N32" s="71" t="s">
        <v>41</v>
      </c>
      <c r="O32" s="71" t="s">
        <v>42</v>
      </c>
      <c r="P32" s="71" t="s">
        <v>43</v>
      </c>
      <c r="Q32" s="71" t="s">
        <v>44</v>
      </c>
      <c r="R32" s="71" t="s">
        <v>61</v>
      </c>
      <c r="S32" s="71" t="s">
        <v>45</v>
      </c>
      <c r="T32" s="71" t="s">
        <v>45</v>
      </c>
      <c r="U32" s="71" t="s">
        <v>45</v>
      </c>
      <c r="V32" s="71" t="s">
        <v>45</v>
      </c>
      <c r="W32" s="71" t="s">
        <v>45</v>
      </c>
      <c r="X32" s="71" t="s">
        <v>45</v>
      </c>
      <c r="Y32" s="71" t="s">
        <v>45</v>
      </c>
      <c r="Z32" s="71" t="s">
        <v>45</v>
      </c>
      <c r="AA32" s="71"/>
      <c r="AB32" s="71" t="s">
        <v>45</v>
      </c>
      <c r="AC32" s="71" t="s">
        <v>45</v>
      </c>
      <c r="AD32" s="71" t="s">
        <v>154</v>
      </c>
      <c r="AE32" s="71"/>
      <c r="AF32" s="71"/>
      <c r="AG32" s="94">
        <v>9019621455</v>
      </c>
      <c r="AH32" s="136"/>
    </row>
    <row r="33" spans="1:34" x14ac:dyDescent="0.35">
      <c r="A33" s="71">
        <v>32</v>
      </c>
      <c r="B33" s="117" t="s">
        <v>184</v>
      </c>
      <c r="C33" s="96" t="s">
        <v>185</v>
      </c>
      <c r="D33" s="114" t="s">
        <v>36</v>
      </c>
      <c r="E33" s="64" t="s">
        <v>50</v>
      </c>
      <c r="F33" s="6" t="s">
        <v>55</v>
      </c>
      <c r="G33" s="6" t="s">
        <v>51</v>
      </c>
      <c r="H33" s="115" t="s">
        <v>57</v>
      </c>
      <c r="I33" s="115" t="s">
        <v>135</v>
      </c>
      <c r="J33" s="115" t="s">
        <v>57</v>
      </c>
      <c r="K33" s="134">
        <v>45974</v>
      </c>
      <c r="L33" s="71" t="s">
        <v>45</v>
      </c>
      <c r="M33" s="71" t="s">
        <v>86</v>
      </c>
      <c r="N33" s="6" t="s">
        <v>87</v>
      </c>
      <c r="O33" s="104" t="s">
        <v>88</v>
      </c>
      <c r="P33" s="6"/>
      <c r="Q33" s="6" t="s">
        <v>141</v>
      </c>
      <c r="R33" s="71" t="s">
        <v>83</v>
      </c>
      <c r="S33" s="71" t="s">
        <v>45</v>
      </c>
      <c r="T33" s="71" t="s">
        <v>45</v>
      </c>
      <c r="U33" s="71" t="s">
        <v>45</v>
      </c>
      <c r="V33" s="71" t="s">
        <v>45</v>
      </c>
      <c r="W33" s="71" t="s">
        <v>45</v>
      </c>
      <c r="X33" s="71" t="s">
        <v>45</v>
      </c>
      <c r="Y33" s="71" t="s">
        <v>45</v>
      </c>
      <c r="Z33" s="71" t="s">
        <v>45</v>
      </c>
      <c r="AA33" s="71"/>
      <c r="AB33" s="71" t="s">
        <v>45</v>
      </c>
      <c r="AC33" s="71" t="s">
        <v>45</v>
      </c>
      <c r="AD33" s="71" t="s">
        <v>62</v>
      </c>
      <c r="AE33" s="71" t="s">
        <v>186</v>
      </c>
      <c r="AF33" s="71"/>
      <c r="AG33" s="94">
        <v>9075468825</v>
      </c>
      <c r="AH33" s="113"/>
    </row>
    <row r="34" spans="1:34" x14ac:dyDescent="0.35">
      <c r="A34" s="71">
        <v>33</v>
      </c>
      <c r="B34" s="117" t="s">
        <v>187</v>
      </c>
      <c r="C34" s="96" t="s">
        <v>188</v>
      </c>
      <c r="D34" s="114" t="s">
        <v>36</v>
      </c>
      <c r="E34" s="6" t="s">
        <v>50</v>
      </c>
      <c r="F34" s="6" t="s">
        <v>55</v>
      </c>
      <c r="G34" s="6" t="s">
        <v>51</v>
      </c>
      <c r="H34" s="115" t="s">
        <v>68</v>
      </c>
      <c r="I34" s="113" t="s">
        <v>52</v>
      </c>
      <c r="J34" s="115" t="s">
        <v>68</v>
      </c>
      <c r="K34" s="134">
        <v>45974</v>
      </c>
      <c r="L34" s="71" t="s">
        <v>45</v>
      </c>
      <c r="M34" s="71" t="s">
        <v>86</v>
      </c>
      <c r="N34" s="6" t="s">
        <v>87</v>
      </c>
      <c r="O34" s="104" t="s">
        <v>88</v>
      </c>
      <c r="P34" s="6"/>
      <c r="Q34" s="6" t="s">
        <v>141</v>
      </c>
      <c r="R34" s="71" t="s">
        <v>83</v>
      </c>
      <c r="S34" s="71" t="s">
        <v>45</v>
      </c>
      <c r="T34" s="71" t="s">
        <v>45</v>
      </c>
      <c r="U34" s="71" t="s">
        <v>45</v>
      </c>
      <c r="V34" s="71" t="s">
        <v>45</v>
      </c>
      <c r="W34" s="71" t="s">
        <v>45</v>
      </c>
      <c r="X34" s="71" t="s">
        <v>45</v>
      </c>
      <c r="Y34" s="71" t="s">
        <v>45</v>
      </c>
      <c r="Z34" s="71" t="s">
        <v>45</v>
      </c>
      <c r="AA34" s="71"/>
      <c r="AB34" s="71" t="s">
        <v>45</v>
      </c>
      <c r="AC34" s="71" t="s">
        <v>45</v>
      </c>
      <c r="AD34" s="71" t="s">
        <v>154</v>
      </c>
      <c r="AE34" s="71" t="s">
        <v>189</v>
      </c>
      <c r="AF34" s="71"/>
      <c r="AG34" s="94">
        <v>9640011982</v>
      </c>
      <c r="AH34" s="94"/>
    </row>
    <row r="35" spans="1:34" x14ac:dyDescent="0.35">
      <c r="A35" s="71">
        <v>34</v>
      </c>
      <c r="B35" s="117" t="s">
        <v>190</v>
      </c>
      <c r="C35" s="71" t="s">
        <v>191</v>
      </c>
      <c r="D35" s="114" t="s">
        <v>36</v>
      </c>
      <c r="E35" s="64" t="s">
        <v>50</v>
      </c>
      <c r="F35" s="6" t="s">
        <v>55</v>
      </c>
      <c r="G35" s="6" t="s">
        <v>56</v>
      </c>
      <c r="H35" s="6" t="s">
        <v>52</v>
      </c>
      <c r="I35" s="115" t="s">
        <v>52</v>
      </c>
      <c r="J35" s="115" t="s">
        <v>57</v>
      </c>
      <c r="K35" s="134">
        <v>45964</v>
      </c>
      <c r="L35" s="71" t="s">
        <v>45</v>
      </c>
      <c r="M35" s="71" t="s">
        <v>123</v>
      </c>
      <c r="N35" s="71" t="s">
        <v>124</v>
      </c>
      <c r="O35" t="s">
        <v>125</v>
      </c>
      <c r="P35" s="71" t="s">
        <v>124</v>
      </c>
      <c r="Q35" s="71" t="s">
        <v>78</v>
      </c>
      <c r="R35" s="71" t="s">
        <v>83</v>
      </c>
      <c r="S35" s="71" t="s">
        <v>45</v>
      </c>
      <c r="T35" s="71" t="s">
        <v>45</v>
      </c>
      <c r="U35" s="71" t="s">
        <v>62</v>
      </c>
      <c r="V35" s="71" t="s">
        <v>62</v>
      </c>
      <c r="W35" s="71"/>
      <c r="X35" s="71" t="s">
        <v>63</v>
      </c>
      <c r="Y35" s="71" t="s">
        <v>45</v>
      </c>
      <c r="Z35" s="71" t="s">
        <v>45</v>
      </c>
      <c r="AA35" s="71"/>
      <c r="AB35" s="71" t="s">
        <v>45</v>
      </c>
      <c r="AC35" s="71" t="s">
        <v>127</v>
      </c>
      <c r="AD35" s="71" t="s">
        <v>154</v>
      </c>
      <c r="AE35" s="71"/>
      <c r="AF35" s="71"/>
      <c r="AG35" s="94">
        <v>9392318493</v>
      </c>
      <c r="AH35" s="94"/>
    </row>
    <row r="36" spans="1:34" x14ac:dyDescent="0.35">
      <c r="A36" s="87">
        <v>35</v>
      </c>
      <c r="B36" s="109" t="s">
        <v>192</v>
      </c>
      <c r="C36" s="105" t="s">
        <v>193</v>
      </c>
      <c r="D36" s="137" t="s">
        <v>36</v>
      </c>
      <c r="E36" s="138" t="s">
        <v>37</v>
      </c>
      <c r="F36" s="139" t="s">
        <v>55</v>
      </c>
      <c r="G36" s="140" t="s">
        <v>56</v>
      </c>
      <c r="H36" s="140" t="s">
        <v>57</v>
      </c>
      <c r="I36" s="141" t="s">
        <v>135</v>
      </c>
      <c r="J36" s="126" t="s">
        <v>57</v>
      </c>
      <c r="K36" s="90">
        <v>45974</v>
      </c>
      <c r="L36" s="87" t="s">
        <v>45</v>
      </c>
      <c r="M36" s="87" t="s">
        <v>40</v>
      </c>
      <c r="N36" s="87" t="s">
        <v>59</v>
      </c>
      <c r="O36" s="89" t="s">
        <v>167</v>
      </c>
      <c r="P36" s="87" t="s">
        <v>194</v>
      </c>
      <c r="Q36" s="87" t="s">
        <v>126</v>
      </c>
      <c r="R36" s="87" t="s">
        <v>61</v>
      </c>
      <c r="S36" s="87" t="s">
        <v>45</v>
      </c>
      <c r="T36" s="87" t="s">
        <v>45</v>
      </c>
      <c r="U36" s="87" t="s">
        <v>45</v>
      </c>
      <c r="V36" s="87" t="s">
        <v>45</v>
      </c>
      <c r="W36" s="87" t="s">
        <v>45</v>
      </c>
      <c r="X36" s="87"/>
      <c r="Y36" s="87"/>
      <c r="Z36" s="87"/>
      <c r="AA36" s="87"/>
      <c r="AB36" s="87" t="s">
        <v>45</v>
      </c>
      <c r="AC36" s="87" t="s">
        <v>127</v>
      </c>
      <c r="AD36" s="87" t="s">
        <v>64</v>
      </c>
      <c r="AE36" s="87"/>
      <c r="AF36" s="91">
        <v>46112</v>
      </c>
      <c r="AG36" s="89">
        <v>8789296242</v>
      </c>
      <c r="AH36" s="89"/>
    </row>
    <row r="37" spans="1:34" ht="87" x14ac:dyDescent="0.35">
      <c r="A37" s="71">
        <v>36</v>
      </c>
      <c r="B37" s="143" t="s">
        <v>195</v>
      </c>
      <c r="C37" s="101" t="s">
        <v>196</v>
      </c>
      <c r="D37" s="114" t="s">
        <v>36</v>
      </c>
      <c r="E37" s="6" t="s">
        <v>50</v>
      </c>
      <c r="F37" s="6" t="s">
        <v>55</v>
      </c>
      <c r="G37" s="6" t="s">
        <v>197</v>
      </c>
      <c r="H37" s="6" t="s">
        <v>57</v>
      </c>
      <c r="I37" s="115" t="s">
        <v>135</v>
      </c>
      <c r="J37" s="115" t="s">
        <v>57</v>
      </c>
      <c r="K37" s="134">
        <v>45988</v>
      </c>
      <c r="L37" s="71" t="s">
        <v>45</v>
      </c>
      <c r="M37" s="144" t="s">
        <v>198</v>
      </c>
      <c r="N37" s="144" t="s">
        <v>41</v>
      </c>
      <c r="O37" s="144" t="s">
        <v>199</v>
      </c>
      <c r="P37" s="71" t="s">
        <v>200</v>
      </c>
      <c r="Q37" s="144" t="s">
        <v>201</v>
      </c>
      <c r="R37" s="71" t="s">
        <v>61</v>
      </c>
      <c r="S37" s="71" t="s">
        <v>45</v>
      </c>
      <c r="T37" s="71" t="s">
        <v>45</v>
      </c>
      <c r="U37" s="71" t="s">
        <v>45</v>
      </c>
      <c r="V37" s="71" t="s">
        <v>45</v>
      </c>
      <c r="W37" s="71" t="s">
        <v>45</v>
      </c>
      <c r="X37" s="71" t="s">
        <v>45</v>
      </c>
      <c r="Y37" s="71" t="s">
        <v>45</v>
      </c>
      <c r="Z37" s="71" t="s">
        <v>45</v>
      </c>
      <c r="AA37" s="71"/>
      <c r="AB37" s="71" t="s">
        <v>45</v>
      </c>
      <c r="AC37" s="71" t="s">
        <v>45</v>
      </c>
      <c r="AD37" s="71" t="s">
        <v>62</v>
      </c>
      <c r="AE37" s="100" t="s">
        <v>202</v>
      </c>
      <c r="AF37" s="71"/>
      <c r="AG37" s="94">
        <v>7023147061</v>
      </c>
    </row>
    <row r="38" spans="1:34" x14ac:dyDescent="0.35">
      <c r="A38" s="71">
        <v>37</v>
      </c>
      <c r="B38" s="143" t="s">
        <v>203</v>
      </c>
      <c r="C38" s="101" t="s">
        <v>204</v>
      </c>
      <c r="D38" s="114" t="s">
        <v>36</v>
      </c>
      <c r="E38" s="64" t="s">
        <v>50</v>
      </c>
      <c r="F38" s="6" t="s">
        <v>55</v>
      </c>
      <c r="G38" s="6" t="s">
        <v>56</v>
      </c>
      <c r="H38" s="6" t="s">
        <v>57</v>
      </c>
      <c r="I38" s="115" t="s">
        <v>135</v>
      </c>
      <c r="J38" s="115" t="s">
        <v>57</v>
      </c>
      <c r="K38" s="134">
        <v>45988</v>
      </c>
      <c r="L38" s="71" t="s">
        <v>45</v>
      </c>
      <c r="M38" s="144" t="s">
        <v>198</v>
      </c>
      <c r="N38" s="71" t="s">
        <v>59</v>
      </c>
      <c r="O38" s="98" t="s">
        <v>69</v>
      </c>
      <c r="P38" s="145" t="s">
        <v>205</v>
      </c>
      <c r="Q38" s="71" t="s">
        <v>206</v>
      </c>
      <c r="R38" s="71" t="s">
        <v>61</v>
      </c>
      <c r="S38" s="71" t="s">
        <v>45</v>
      </c>
      <c r="T38" s="71" t="s">
        <v>127</v>
      </c>
      <c r="U38" s="71" t="s">
        <v>45</v>
      </c>
      <c r="V38" s="71" t="s">
        <v>45</v>
      </c>
      <c r="W38" s="71" t="s">
        <v>45</v>
      </c>
      <c r="X38" s="71" t="s">
        <v>45</v>
      </c>
      <c r="Y38" s="71" t="s">
        <v>45</v>
      </c>
      <c r="Z38" s="71" t="s">
        <v>45</v>
      </c>
      <c r="AA38" s="71"/>
      <c r="AB38" s="71" t="s">
        <v>45</v>
      </c>
      <c r="AC38" s="71" t="s">
        <v>45</v>
      </c>
      <c r="AD38" s="71" t="s">
        <v>154</v>
      </c>
      <c r="AE38" s="71"/>
      <c r="AF38" s="71"/>
      <c r="AG38" s="94">
        <v>8904462309</v>
      </c>
      <c r="AH38" s="94"/>
    </row>
    <row r="39" spans="1:34" x14ac:dyDescent="0.35">
      <c r="A39" s="71">
        <v>38</v>
      </c>
      <c r="B39" s="94" t="s">
        <v>207</v>
      </c>
      <c r="C39" s="101" t="s">
        <v>208</v>
      </c>
      <c r="D39" s="146" t="s">
        <v>36</v>
      </c>
      <c r="E39" s="64" t="s">
        <v>50</v>
      </c>
      <c r="F39" s="6" t="s">
        <v>55</v>
      </c>
      <c r="G39" s="6" t="s">
        <v>56</v>
      </c>
      <c r="H39" s="6" t="s">
        <v>39</v>
      </c>
      <c r="I39" s="115" t="s">
        <v>122</v>
      </c>
      <c r="J39" s="115" t="s">
        <v>57</v>
      </c>
      <c r="K39" s="134">
        <v>45992</v>
      </c>
      <c r="L39" s="71" t="s">
        <v>45</v>
      </c>
      <c r="M39" s="71" t="s">
        <v>123</v>
      </c>
      <c r="N39" s="71" t="s">
        <v>124</v>
      </c>
      <c r="O39" t="s">
        <v>125</v>
      </c>
      <c r="P39" s="71" t="s">
        <v>124</v>
      </c>
      <c r="Q39" s="71"/>
      <c r="R39" s="71" t="s">
        <v>83</v>
      </c>
      <c r="S39" s="71" t="s">
        <v>45</v>
      </c>
      <c r="T39" s="71" t="s">
        <v>45</v>
      </c>
      <c r="U39" s="71" t="s">
        <v>62</v>
      </c>
      <c r="V39" s="71" t="s">
        <v>62</v>
      </c>
      <c r="W39" s="71"/>
      <c r="X39" s="71" t="s">
        <v>63</v>
      </c>
      <c r="Y39" s="71" t="s">
        <v>63</v>
      </c>
      <c r="Z39" s="71" t="s">
        <v>63</v>
      </c>
      <c r="AA39" s="71"/>
      <c r="AB39" s="71" t="s">
        <v>45</v>
      </c>
      <c r="AC39" s="71" t="s">
        <v>45</v>
      </c>
      <c r="AD39" s="71" t="s">
        <v>154</v>
      </c>
      <c r="AE39" s="71"/>
      <c r="AF39" s="71"/>
      <c r="AG39" s="94">
        <v>9844891637</v>
      </c>
      <c r="AH39" s="71"/>
    </row>
    <row r="40" spans="1:34" x14ac:dyDescent="0.35">
      <c r="A40" s="71">
        <v>39</v>
      </c>
      <c r="B40" s="94" t="s">
        <v>209</v>
      </c>
      <c r="C40" s="101" t="s">
        <v>210</v>
      </c>
      <c r="D40" s="146" t="s">
        <v>36</v>
      </c>
      <c r="E40" s="64" t="s">
        <v>50</v>
      </c>
      <c r="F40" s="6" t="s">
        <v>55</v>
      </c>
      <c r="G40" s="6" t="s">
        <v>51</v>
      </c>
      <c r="H40" s="6" t="s">
        <v>57</v>
      </c>
      <c r="I40" s="115" t="s">
        <v>135</v>
      </c>
      <c r="J40" s="115" t="s">
        <v>57</v>
      </c>
      <c r="K40" s="134">
        <v>45993</v>
      </c>
      <c r="L40" s="71" t="s">
        <v>45</v>
      </c>
      <c r="M40" s="71" t="s">
        <v>211</v>
      </c>
      <c r="N40" s="147" t="s">
        <v>124</v>
      </c>
      <c r="O40" s="71" t="s">
        <v>212</v>
      </c>
      <c r="P40" s="71" t="s">
        <v>213</v>
      </c>
      <c r="Q40" s="71" t="s">
        <v>211</v>
      </c>
      <c r="R40" s="71" t="s">
        <v>61</v>
      </c>
      <c r="S40" s="71" t="s">
        <v>45</v>
      </c>
      <c r="T40" s="71" t="s">
        <v>45</v>
      </c>
      <c r="U40" s="71" t="s">
        <v>45</v>
      </c>
      <c r="V40" s="71" t="s">
        <v>45</v>
      </c>
      <c r="W40" s="71" t="s">
        <v>45</v>
      </c>
      <c r="X40" s="71" t="s">
        <v>45</v>
      </c>
      <c r="Y40" s="71"/>
      <c r="Z40" s="71"/>
      <c r="AA40" s="71"/>
      <c r="AB40" s="71" t="s">
        <v>45</v>
      </c>
      <c r="AC40" s="71" t="s">
        <v>45</v>
      </c>
      <c r="AD40" s="71" t="s">
        <v>62</v>
      </c>
      <c r="AE40" s="71" t="s">
        <v>214</v>
      </c>
      <c r="AF40" s="148">
        <v>46248</v>
      </c>
      <c r="AG40" s="94">
        <v>9985758779</v>
      </c>
      <c r="AH40" s="71"/>
    </row>
    <row r="41" spans="1:34" x14ac:dyDescent="0.35">
      <c r="A41" s="87">
        <v>40</v>
      </c>
      <c r="B41" s="87" t="s">
        <v>215</v>
      </c>
      <c r="C41" s="105" t="s">
        <v>216</v>
      </c>
      <c r="D41" s="149" t="s">
        <v>36</v>
      </c>
      <c r="E41" s="150" t="s">
        <v>37</v>
      </c>
      <c r="F41" s="151" t="s">
        <v>55</v>
      </c>
      <c r="G41" s="152" t="s">
        <v>51</v>
      </c>
      <c r="H41" s="153" t="s">
        <v>57</v>
      </c>
      <c r="I41" s="154" t="s">
        <v>135</v>
      </c>
      <c r="J41" s="106" t="s">
        <v>57</v>
      </c>
      <c r="K41" s="90">
        <v>45999</v>
      </c>
      <c r="L41" s="87" t="s">
        <v>45</v>
      </c>
      <c r="M41" s="155" t="s">
        <v>40</v>
      </c>
      <c r="N41" s="89" t="s">
        <v>41</v>
      </c>
      <c r="O41" s="89"/>
      <c r="P41" s="89"/>
      <c r="Q41" s="89"/>
      <c r="R41" s="87" t="s">
        <v>61</v>
      </c>
      <c r="S41" s="87" t="s">
        <v>45</v>
      </c>
      <c r="T41" s="87" t="s">
        <v>45</v>
      </c>
      <c r="U41" s="87" t="s">
        <v>45</v>
      </c>
      <c r="V41" s="87" t="s">
        <v>45</v>
      </c>
      <c r="W41" s="87"/>
      <c r="X41" s="87"/>
      <c r="Y41" s="87"/>
      <c r="Z41" s="87"/>
      <c r="AA41" s="87"/>
      <c r="AB41" s="87" t="s">
        <v>45</v>
      </c>
      <c r="AC41" s="87" t="s">
        <v>45</v>
      </c>
      <c r="AD41" s="87" t="s">
        <v>154</v>
      </c>
      <c r="AE41" s="87"/>
      <c r="AF41" s="91">
        <v>46087</v>
      </c>
      <c r="AG41" s="87" t="s">
        <v>63</v>
      </c>
      <c r="AH41" s="87"/>
    </row>
    <row r="42" spans="1:34" x14ac:dyDescent="0.35">
      <c r="A42" s="71">
        <v>41</v>
      </c>
      <c r="B42" s="71" t="s">
        <v>217</v>
      </c>
      <c r="C42" s="156" t="s">
        <v>218</v>
      </c>
      <c r="D42" s="146" t="s">
        <v>36</v>
      </c>
      <c r="E42" s="115" t="s">
        <v>50</v>
      </c>
      <c r="F42" s="115" t="s">
        <v>55</v>
      </c>
      <c r="G42" s="6" t="s">
        <v>197</v>
      </c>
      <c r="H42" s="115" t="s">
        <v>68</v>
      </c>
      <c r="I42" s="115" t="s">
        <v>135</v>
      </c>
      <c r="J42" s="115" t="s">
        <v>68</v>
      </c>
      <c r="K42" s="134">
        <v>46006</v>
      </c>
      <c r="L42" s="71" t="s">
        <v>45</v>
      </c>
      <c r="M42" s="144" t="s">
        <v>219</v>
      </c>
      <c r="N42" s="71" t="s">
        <v>59</v>
      </c>
      <c r="O42" s="94" t="s">
        <v>76</v>
      </c>
      <c r="P42" s="71" t="s">
        <v>220</v>
      </c>
      <c r="Q42" s="71" t="s">
        <v>221</v>
      </c>
      <c r="R42" s="71" t="s">
        <v>61</v>
      </c>
      <c r="S42" s="71" t="s">
        <v>45</v>
      </c>
      <c r="T42" s="71" t="s">
        <v>45</v>
      </c>
      <c r="U42" s="71" t="s">
        <v>45</v>
      </c>
      <c r="V42" s="71" t="s">
        <v>45</v>
      </c>
      <c r="W42" s="71" t="s">
        <v>45</v>
      </c>
      <c r="X42" s="71" t="s">
        <v>45</v>
      </c>
      <c r="Y42" s="71" t="s">
        <v>45</v>
      </c>
      <c r="Z42" s="71" t="s">
        <v>45</v>
      </c>
      <c r="AA42" s="71"/>
      <c r="AB42" s="71" t="s">
        <v>45</v>
      </c>
      <c r="AC42" s="71" t="s">
        <v>45</v>
      </c>
      <c r="AD42" s="71" t="s">
        <v>62</v>
      </c>
      <c r="AE42" s="71" t="s">
        <v>222</v>
      </c>
      <c r="AF42" s="71"/>
      <c r="AG42" s="94">
        <v>9403029774</v>
      </c>
      <c r="AH42" s="71"/>
    </row>
    <row r="43" spans="1:34" x14ac:dyDescent="0.35">
      <c r="A43" s="119">
        <v>42</v>
      </c>
      <c r="B43" s="92" t="s">
        <v>223</v>
      </c>
      <c r="C43" s="101" t="s">
        <v>224</v>
      </c>
      <c r="D43" s="146" t="s">
        <v>36</v>
      </c>
      <c r="E43" s="64" t="s">
        <v>50</v>
      </c>
      <c r="F43" s="6" t="s">
        <v>55</v>
      </c>
      <c r="G43" s="6" t="s">
        <v>51</v>
      </c>
      <c r="H43" s="6" t="s">
        <v>57</v>
      </c>
      <c r="I43" s="115" t="s">
        <v>135</v>
      </c>
      <c r="J43" s="115" t="s">
        <v>57</v>
      </c>
      <c r="K43" s="134">
        <v>45995</v>
      </c>
      <c r="L43" s="71" t="s">
        <v>45</v>
      </c>
      <c r="M43" s="144" t="s">
        <v>40</v>
      </c>
      <c r="N43" s="119" t="s">
        <v>59</v>
      </c>
      <c r="O43" s="157" t="s">
        <v>69</v>
      </c>
      <c r="P43" s="157" t="s">
        <v>225</v>
      </c>
      <c r="Q43" s="119" t="s">
        <v>206</v>
      </c>
      <c r="R43" s="119" t="s">
        <v>61</v>
      </c>
      <c r="S43" s="119" t="s">
        <v>45</v>
      </c>
      <c r="T43" s="119" t="s">
        <v>45</v>
      </c>
      <c r="U43" s="119" t="s">
        <v>45</v>
      </c>
      <c r="V43" s="119" t="s">
        <v>45</v>
      </c>
      <c r="W43" s="119" t="s">
        <v>45</v>
      </c>
      <c r="X43" s="119" t="s">
        <v>45</v>
      </c>
      <c r="Y43" s="119" t="s">
        <v>45</v>
      </c>
      <c r="Z43" s="119" t="s">
        <v>45</v>
      </c>
      <c r="AA43" s="119"/>
      <c r="AB43" s="119" t="s">
        <v>45</v>
      </c>
      <c r="AC43" s="119" t="s">
        <v>45</v>
      </c>
      <c r="AD43" s="119" t="s">
        <v>154</v>
      </c>
      <c r="AE43" s="119"/>
      <c r="AF43" s="119"/>
      <c r="AG43" s="158">
        <v>7676333378</v>
      </c>
      <c r="AH43" s="119"/>
    </row>
    <row r="44" spans="1:34" x14ac:dyDescent="0.35">
      <c r="A44" s="87">
        <v>43</v>
      </c>
      <c r="B44" s="109" t="s">
        <v>226</v>
      </c>
      <c r="C44" s="88" t="s">
        <v>227</v>
      </c>
      <c r="D44" s="137" t="s">
        <v>36</v>
      </c>
      <c r="E44" s="159" t="s">
        <v>37</v>
      </c>
      <c r="F44" s="152" t="s">
        <v>55</v>
      </c>
      <c r="G44" s="152" t="s">
        <v>56</v>
      </c>
      <c r="H44" s="152" t="s">
        <v>57</v>
      </c>
      <c r="I44" s="154" t="s">
        <v>166</v>
      </c>
      <c r="J44" s="106" t="s">
        <v>57</v>
      </c>
      <c r="K44" s="90">
        <v>46027</v>
      </c>
      <c r="L44" s="87" t="s">
        <v>45</v>
      </c>
      <c r="M44" s="87" t="s">
        <v>228</v>
      </c>
      <c r="N44" s="87" t="s">
        <v>59</v>
      </c>
      <c r="O44" s="87" t="s">
        <v>69</v>
      </c>
      <c r="P44" s="87" t="s">
        <v>229</v>
      </c>
      <c r="Q44" s="87" t="s">
        <v>159</v>
      </c>
      <c r="R44" s="87" t="s">
        <v>61</v>
      </c>
      <c r="S44" s="87" t="s">
        <v>127</v>
      </c>
      <c r="T44" s="87" t="s">
        <v>45</v>
      </c>
      <c r="U44" s="87" t="s">
        <v>45</v>
      </c>
      <c r="V44" s="87" t="s">
        <v>45</v>
      </c>
      <c r="W44" s="87" t="s">
        <v>45</v>
      </c>
      <c r="X44" s="87"/>
      <c r="Y44" s="87"/>
      <c r="Z44" s="87"/>
      <c r="AA44" s="87"/>
      <c r="AB44" s="87" t="s">
        <v>45</v>
      </c>
      <c r="AC44" s="87" t="s">
        <v>127</v>
      </c>
      <c r="AD44" s="87" t="s">
        <v>154</v>
      </c>
      <c r="AE44" s="87" t="s">
        <v>230</v>
      </c>
      <c r="AF44" s="91">
        <v>46104</v>
      </c>
      <c r="AG44" s="89">
        <v>9392655177</v>
      </c>
      <c r="AH44" s="87"/>
    </row>
    <row r="45" spans="1:34" x14ac:dyDescent="0.35">
      <c r="A45" s="119">
        <v>44</v>
      </c>
      <c r="B45" s="160" t="s">
        <v>231</v>
      </c>
      <c r="C45" s="101" t="s">
        <v>232</v>
      </c>
      <c r="D45" s="114" t="s">
        <v>36</v>
      </c>
      <c r="E45" s="6" t="s">
        <v>50</v>
      </c>
      <c r="F45" s="6" t="s">
        <v>55</v>
      </c>
      <c r="G45" s="6" t="s">
        <v>56</v>
      </c>
      <c r="H45" s="6" t="s">
        <v>39</v>
      </c>
      <c r="I45" s="115" t="s">
        <v>39</v>
      </c>
      <c r="J45" s="115" t="s">
        <v>57</v>
      </c>
      <c r="K45" s="134">
        <v>45992</v>
      </c>
      <c r="L45" s="71" t="s">
        <v>45</v>
      </c>
      <c r="M45" s="71" t="s">
        <v>233</v>
      </c>
      <c r="N45" s="119" t="s">
        <v>59</v>
      </c>
      <c r="O45" s="119" t="s">
        <v>69</v>
      </c>
      <c r="P45" s="119" t="s">
        <v>234</v>
      </c>
      <c r="Q45" s="119" t="s">
        <v>235</v>
      </c>
      <c r="R45" s="119" t="s">
        <v>61</v>
      </c>
      <c r="S45" s="119" t="s">
        <v>45</v>
      </c>
      <c r="T45" s="119" t="s">
        <v>45</v>
      </c>
      <c r="U45" s="119" t="s">
        <v>45</v>
      </c>
      <c r="V45" s="119" t="s">
        <v>45</v>
      </c>
      <c r="W45" s="119" t="s">
        <v>45</v>
      </c>
      <c r="X45" s="119" t="s">
        <v>45</v>
      </c>
      <c r="Y45" s="119" t="s">
        <v>45</v>
      </c>
      <c r="Z45" s="119" t="s">
        <v>45</v>
      </c>
      <c r="AA45" s="119"/>
      <c r="AB45" s="119" t="s">
        <v>45</v>
      </c>
      <c r="AC45" s="119" t="s">
        <v>45</v>
      </c>
      <c r="AD45" s="119" t="s">
        <v>64</v>
      </c>
      <c r="AE45" s="119"/>
      <c r="AF45" s="119"/>
      <c r="AG45" s="119">
        <v>7842554062</v>
      </c>
      <c r="AH45" s="119"/>
    </row>
    <row r="46" spans="1:34" x14ac:dyDescent="0.35">
      <c r="A46" s="71">
        <v>45</v>
      </c>
      <c r="B46" s="92" t="s">
        <v>236</v>
      </c>
      <c r="C46" s="161" t="s">
        <v>237</v>
      </c>
      <c r="D46" s="114" t="s">
        <v>36</v>
      </c>
      <c r="E46" s="64" t="s">
        <v>50</v>
      </c>
      <c r="F46" s="6" t="s">
        <v>55</v>
      </c>
      <c r="G46" s="6" t="s">
        <v>56</v>
      </c>
      <c r="H46" s="6" t="s">
        <v>57</v>
      </c>
      <c r="I46" s="115" t="s">
        <v>135</v>
      </c>
      <c r="J46" s="162" t="s">
        <v>57</v>
      </c>
      <c r="K46" s="134">
        <v>46002</v>
      </c>
      <c r="L46" s="71" t="s">
        <v>45</v>
      </c>
      <c r="M46" s="71" t="s">
        <v>233</v>
      </c>
      <c r="N46" s="71" t="s">
        <v>124</v>
      </c>
      <c r="O46" s="71" t="s">
        <v>238</v>
      </c>
      <c r="P46" s="71" t="s">
        <v>124</v>
      </c>
      <c r="Q46" s="71" t="s">
        <v>233</v>
      </c>
      <c r="R46" s="71" t="s">
        <v>83</v>
      </c>
      <c r="S46" s="71" t="s">
        <v>127</v>
      </c>
      <c r="T46" s="71" t="s">
        <v>45</v>
      </c>
      <c r="U46" s="71" t="s">
        <v>45</v>
      </c>
      <c r="V46" s="71" t="s">
        <v>45</v>
      </c>
      <c r="W46" s="71" t="s">
        <v>45</v>
      </c>
      <c r="X46" s="71" t="s">
        <v>45</v>
      </c>
      <c r="Y46" s="71" t="s">
        <v>45</v>
      </c>
      <c r="Z46" s="71" t="s">
        <v>45</v>
      </c>
      <c r="AA46" s="71"/>
      <c r="AB46" s="71" t="s">
        <v>45</v>
      </c>
      <c r="AC46" s="71" t="s">
        <v>45</v>
      </c>
      <c r="AD46" s="71" t="s">
        <v>154</v>
      </c>
      <c r="AE46" s="71" t="s">
        <v>239</v>
      </c>
      <c r="AF46" s="71"/>
      <c r="AG46" s="94">
        <v>9886136277</v>
      </c>
      <c r="AH46" s="71"/>
    </row>
    <row r="47" spans="1:34" x14ac:dyDescent="0.35">
      <c r="A47" s="87">
        <v>46</v>
      </c>
      <c r="B47" s="109" t="s">
        <v>240</v>
      </c>
      <c r="C47" s="88" t="s">
        <v>241</v>
      </c>
      <c r="D47" s="87" t="s">
        <v>36</v>
      </c>
      <c r="E47" s="163" t="s">
        <v>37</v>
      </c>
      <c r="F47" s="139" t="s">
        <v>55</v>
      </c>
      <c r="G47" s="140" t="s">
        <v>51</v>
      </c>
      <c r="H47" s="140" t="s">
        <v>39</v>
      </c>
      <c r="I47" s="141" t="s">
        <v>39</v>
      </c>
      <c r="J47" s="126" t="s">
        <v>57</v>
      </c>
      <c r="K47" s="90">
        <v>45988</v>
      </c>
      <c r="L47" s="87" t="s">
        <v>45</v>
      </c>
      <c r="M47" s="87" t="s">
        <v>40</v>
      </c>
      <c r="N47" s="87" t="s">
        <v>59</v>
      </c>
      <c r="O47" s="87"/>
      <c r="P47" s="87"/>
      <c r="Q47" s="87"/>
      <c r="R47" s="87" t="s">
        <v>61</v>
      </c>
      <c r="S47" s="87" t="s">
        <v>45</v>
      </c>
      <c r="T47" s="87" t="s">
        <v>45</v>
      </c>
      <c r="U47" s="87" t="s">
        <v>45</v>
      </c>
      <c r="V47" s="87" t="s">
        <v>45</v>
      </c>
      <c r="W47" s="87" t="s">
        <v>63</v>
      </c>
      <c r="X47" s="87"/>
      <c r="Y47" s="87"/>
      <c r="Z47" s="87"/>
      <c r="AA47" s="87"/>
      <c r="AB47" s="87" t="s">
        <v>45</v>
      </c>
      <c r="AC47" s="87" t="s">
        <v>45</v>
      </c>
      <c r="AD47" s="87" t="s">
        <v>154</v>
      </c>
      <c r="AE47" s="87" t="s">
        <v>242</v>
      </c>
      <c r="AF47" s="91">
        <v>46094</v>
      </c>
      <c r="AG47" s="89">
        <v>8902416986</v>
      </c>
      <c r="AH47" s="87"/>
    </row>
    <row r="48" spans="1:34" x14ac:dyDescent="0.35">
      <c r="A48" s="87">
        <v>47</v>
      </c>
      <c r="B48" s="89" t="s">
        <v>243</v>
      </c>
      <c r="C48" s="88" t="s">
        <v>244</v>
      </c>
      <c r="D48" s="87" t="s">
        <v>36</v>
      </c>
      <c r="E48" s="129" t="s">
        <v>37</v>
      </c>
      <c r="F48" s="130" t="s">
        <v>55</v>
      </c>
      <c r="G48" s="131" t="s">
        <v>245</v>
      </c>
      <c r="H48" s="131" t="s">
        <v>57</v>
      </c>
      <c r="I48" s="142" t="s">
        <v>135</v>
      </c>
      <c r="J48" s="142" t="s">
        <v>57</v>
      </c>
      <c r="K48" s="90">
        <v>46034</v>
      </c>
      <c r="L48" s="87" t="s">
        <v>45</v>
      </c>
      <c r="M48" s="87" t="s">
        <v>135</v>
      </c>
      <c r="N48" s="87" t="s">
        <v>59</v>
      </c>
      <c r="O48" s="87"/>
      <c r="P48" s="87"/>
      <c r="Q48" s="87"/>
      <c r="R48" s="87" t="s">
        <v>246</v>
      </c>
      <c r="S48" s="87" t="s">
        <v>127</v>
      </c>
      <c r="T48" s="87" t="s">
        <v>127</v>
      </c>
      <c r="U48" s="87" t="s">
        <v>45</v>
      </c>
      <c r="V48" s="87" t="s">
        <v>45</v>
      </c>
      <c r="W48" s="87" t="s">
        <v>63</v>
      </c>
      <c r="X48" s="87"/>
      <c r="Y48" s="87"/>
      <c r="Z48" s="87"/>
      <c r="AA48" s="87"/>
      <c r="AB48" s="87" t="s">
        <v>45</v>
      </c>
      <c r="AC48" s="87" t="s">
        <v>127</v>
      </c>
      <c r="AD48" s="87" t="s">
        <v>154</v>
      </c>
      <c r="AE48" s="87"/>
      <c r="AF48" s="87" t="s">
        <v>247</v>
      </c>
      <c r="AG48" s="127">
        <v>9935078814</v>
      </c>
      <c r="AH48" s="87"/>
    </row>
    <row r="49" spans="1:34" x14ac:dyDescent="0.35">
      <c r="A49" s="71">
        <v>48</v>
      </c>
      <c r="B49" s="135" t="s">
        <v>248</v>
      </c>
      <c r="C49" s="101" t="s">
        <v>249</v>
      </c>
      <c r="D49" s="114" t="s">
        <v>36</v>
      </c>
      <c r="E49" s="6" t="s">
        <v>50</v>
      </c>
      <c r="F49" s="6" t="s">
        <v>55</v>
      </c>
      <c r="G49" s="6" t="s">
        <v>51</v>
      </c>
      <c r="H49" s="115" t="s">
        <v>158</v>
      </c>
      <c r="I49" s="115" t="s">
        <v>135</v>
      </c>
      <c r="J49" s="115" t="s">
        <v>158</v>
      </c>
      <c r="K49" s="134">
        <v>46014</v>
      </c>
      <c r="L49" s="71" t="s">
        <v>45</v>
      </c>
      <c r="M49" s="94" t="s">
        <v>40</v>
      </c>
      <c r="N49" s="71" t="s">
        <v>59</v>
      </c>
      <c r="O49" s="98" t="s">
        <v>69</v>
      </c>
      <c r="P49" s="98" t="s">
        <v>225</v>
      </c>
      <c r="Q49" s="71" t="s">
        <v>206</v>
      </c>
      <c r="R49" s="71" t="s">
        <v>61</v>
      </c>
      <c r="S49" s="71" t="s">
        <v>45</v>
      </c>
      <c r="T49" s="71" t="s">
        <v>45</v>
      </c>
      <c r="U49" s="71" t="s">
        <v>45</v>
      </c>
      <c r="V49" s="71" t="s">
        <v>45</v>
      </c>
      <c r="W49" s="71" t="s">
        <v>45</v>
      </c>
      <c r="X49" s="71" t="s">
        <v>45</v>
      </c>
      <c r="Y49" s="71" t="s">
        <v>45</v>
      </c>
      <c r="Z49" s="71" t="s">
        <v>45</v>
      </c>
      <c r="AA49" s="71"/>
      <c r="AB49" s="71" t="s">
        <v>45</v>
      </c>
      <c r="AC49" s="71" t="s">
        <v>45</v>
      </c>
      <c r="AD49" s="71" t="s">
        <v>154</v>
      </c>
      <c r="AE49" s="71"/>
      <c r="AF49" s="71"/>
      <c r="AG49" s="94">
        <v>9704950393</v>
      </c>
      <c r="AH49" s="71"/>
    </row>
    <row r="50" spans="1:34" x14ac:dyDescent="0.35">
      <c r="A50" s="71">
        <v>49</v>
      </c>
      <c r="B50" s="164" t="s">
        <v>250</v>
      </c>
      <c r="C50" s="101" t="s">
        <v>251</v>
      </c>
      <c r="D50" s="165" t="s">
        <v>36</v>
      </c>
      <c r="E50" s="64" t="s">
        <v>50</v>
      </c>
      <c r="F50" s="6" t="s">
        <v>55</v>
      </c>
      <c r="G50" s="6" t="s">
        <v>51</v>
      </c>
      <c r="H50" s="6" t="s">
        <v>68</v>
      </c>
      <c r="I50" s="115" t="s">
        <v>122</v>
      </c>
      <c r="J50" s="115" t="s">
        <v>68</v>
      </c>
      <c r="K50" s="134">
        <v>46028</v>
      </c>
      <c r="L50" s="71" t="s">
        <v>45</v>
      </c>
      <c r="M50" s="71" t="s">
        <v>113</v>
      </c>
      <c r="N50" s="71" t="s">
        <v>114</v>
      </c>
      <c r="O50" s="71" t="s">
        <v>114</v>
      </c>
      <c r="P50" s="71" t="s">
        <v>115</v>
      </c>
      <c r="Q50" s="71" t="s">
        <v>116</v>
      </c>
      <c r="R50" s="71" t="s">
        <v>61</v>
      </c>
      <c r="S50" s="71" t="s">
        <v>45</v>
      </c>
      <c r="T50" s="71" t="s">
        <v>45</v>
      </c>
      <c r="U50" s="71" t="s">
        <v>45</v>
      </c>
      <c r="V50" s="71" t="s">
        <v>45</v>
      </c>
      <c r="W50" s="71" t="s">
        <v>45</v>
      </c>
      <c r="X50" s="71" t="s">
        <v>45</v>
      </c>
      <c r="Y50" s="71" t="s">
        <v>45</v>
      </c>
      <c r="Z50" s="71" t="s">
        <v>45</v>
      </c>
      <c r="AA50" s="71"/>
      <c r="AB50" s="71" t="s">
        <v>45</v>
      </c>
      <c r="AC50" s="71" t="s">
        <v>45</v>
      </c>
      <c r="AD50" s="71" t="s">
        <v>62</v>
      </c>
      <c r="AE50" s="71" t="s">
        <v>252</v>
      </c>
      <c r="AF50" s="71"/>
      <c r="AG50" s="94">
        <v>7416862939</v>
      </c>
      <c r="AH50" s="71"/>
    </row>
    <row r="51" spans="1:34" ht="29" x14ac:dyDescent="0.35">
      <c r="A51" s="100">
        <v>50</v>
      </c>
      <c r="B51" s="166" t="s">
        <v>253</v>
      </c>
      <c r="C51" s="167" t="s">
        <v>254</v>
      </c>
      <c r="D51" s="168" t="s">
        <v>36</v>
      </c>
      <c r="E51" s="169" t="s">
        <v>50</v>
      </c>
      <c r="F51" s="8" t="s">
        <v>55</v>
      </c>
      <c r="G51" s="8" t="s">
        <v>106</v>
      </c>
      <c r="H51" s="8" t="s">
        <v>39</v>
      </c>
      <c r="I51" s="170" t="s">
        <v>157</v>
      </c>
      <c r="J51" s="170" t="s">
        <v>57</v>
      </c>
      <c r="K51" s="171">
        <v>45994</v>
      </c>
      <c r="L51" s="100" t="s">
        <v>45</v>
      </c>
      <c r="M51" s="100" t="s">
        <v>110</v>
      </c>
      <c r="N51" s="100" t="s">
        <v>59</v>
      </c>
      <c r="O51" s="172" t="s">
        <v>76</v>
      </c>
      <c r="P51" s="172" t="s">
        <v>255</v>
      </c>
      <c r="Q51" s="173" t="s">
        <v>256</v>
      </c>
      <c r="R51" s="100" t="s">
        <v>61</v>
      </c>
      <c r="S51" s="100" t="s">
        <v>45</v>
      </c>
      <c r="T51" s="100" t="s">
        <v>45</v>
      </c>
      <c r="U51" s="100" t="s">
        <v>45</v>
      </c>
      <c r="V51" s="100" t="s">
        <v>45</v>
      </c>
      <c r="W51" s="100" t="s">
        <v>45</v>
      </c>
      <c r="X51" s="71" t="s">
        <v>45</v>
      </c>
      <c r="Y51" s="71" t="s">
        <v>45</v>
      </c>
      <c r="Z51" s="71" t="s">
        <v>45</v>
      </c>
      <c r="AA51" s="71"/>
      <c r="AB51" s="100" t="s">
        <v>45</v>
      </c>
      <c r="AC51" s="100" t="s">
        <v>45</v>
      </c>
      <c r="AD51" s="100" t="s">
        <v>257</v>
      </c>
      <c r="AE51" s="100"/>
      <c r="AF51" s="100"/>
      <c r="AG51" s="174">
        <v>7829923270</v>
      </c>
      <c r="AH51" s="100"/>
    </row>
    <row r="52" spans="1:34" x14ac:dyDescent="0.35">
      <c r="A52" s="71">
        <v>51</v>
      </c>
      <c r="B52" s="71" t="s">
        <v>258</v>
      </c>
      <c r="C52" s="175" t="s">
        <v>259</v>
      </c>
      <c r="D52" s="66" t="s">
        <v>36</v>
      </c>
      <c r="E52" s="64" t="s">
        <v>50</v>
      </c>
      <c r="F52" s="6" t="s">
        <v>55</v>
      </c>
      <c r="G52" s="6" t="s">
        <v>56</v>
      </c>
      <c r="H52" s="6" t="s">
        <v>52</v>
      </c>
      <c r="I52" s="6" t="s">
        <v>52</v>
      </c>
      <c r="J52" s="6"/>
      <c r="K52" s="134">
        <v>45964</v>
      </c>
      <c r="L52" s="71" t="s">
        <v>45</v>
      </c>
      <c r="M52" s="71" t="s">
        <v>58</v>
      </c>
      <c r="N52" s="94" t="s">
        <v>59</v>
      </c>
      <c r="O52" s="98" t="s">
        <v>260</v>
      </c>
      <c r="P52" s="98" t="s">
        <v>261</v>
      </c>
      <c r="Q52" s="94" t="s">
        <v>58</v>
      </c>
      <c r="R52" s="71" t="s">
        <v>61</v>
      </c>
      <c r="S52" s="71" t="s">
        <v>45</v>
      </c>
      <c r="T52" s="71" t="s">
        <v>45</v>
      </c>
      <c r="U52" s="71" t="s">
        <v>45</v>
      </c>
      <c r="V52" s="71" t="s">
        <v>62</v>
      </c>
      <c r="W52" s="71" t="s">
        <v>45</v>
      </c>
      <c r="X52" s="71" t="s">
        <v>45</v>
      </c>
      <c r="Y52" s="71" t="s">
        <v>45</v>
      </c>
      <c r="Z52" s="71" t="s">
        <v>45</v>
      </c>
      <c r="AA52" s="71"/>
      <c r="AB52" s="71" t="s">
        <v>62</v>
      </c>
      <c r="AC52" s="71" t="s">
        <v>45</v>
      </c>
      <c r="AD52" s="71" t="s">
        <v>154</v>
      </c>
      <c r="AE52" s="71" t="s">
        <v>262</v>
      </c>
      <c r="AF52" s="71"/>
      <c r="AG52" s="71">
        <v>7358604652</v>
      </c>
      <c r="AH52" s="71"/>
    </row>
    <row r="53" spans="1:34" x14ac:dyDescent="0.35">
      <c r="A53" s="71">
        <v>52</v>
      </c>
      <c r="B53" s="117" t="s">
        <v>263</v>
      </c>
      <c r="C53" s="175" t="s">
        <v>264</v>
      </c>
      <c r="D53" s="66" t="s">
        <v>36</v>
      </c>
      <c r="E53" s="6" t="s">
        <v>50</v>
      </c>
      <c r="F53" s="6" t="s">
        <v>55</v>
      </c>
      <c r="G53" s="6" t="s">
        <v>38</v>
      </c>
      <c r="H53" s="6" t="s">
        <v>39</v>
      </c>
      <c r="I53" s="115" t="s">
        <v>39</v>
      </c>
      <c r="J53" s="115" t="s">
        <v>57</v>
      </c>
      <c r="K53" s="134">
        <v>46024</v>
      </c>
      <c r="L53" s="71" t="s">
        <v>45</v>
      </c>
      <c r="M53" s="71" t="s">
        <v>219</v>
      </c>
      <c r="N53" s="71" t="s">
        <v>59</v>
      </c>
      <c r="O53" s="98" t="s">
        <v>76</v>
      </c>
      <c r="P53" s="98" t="s">
        <v>220</v>
      </c>
      <c r="Q53" s="71" t="s">
        <v>221</v>
      </c>
      <c r="R53" s="71" t="s">
        <v>61</v>
      </c>
      <c r="S53" s="71" t="s">
        <v>45</v>
      </c>
      <c r="T53" s="71" t="s">
        <v>45</v>
      </c>
      <c r="U53" s="71" t="s">
        <v>45</v>
      </c>
      <c r="V53" s="71" t="s">
        <v>45</v>
      </c>
      <c r="W53" s="71" t="s">
        <v>45</v>
      </c>
      <c r="X53" s="71" t="s">
        <v>45</v>
      </c>
      <c r="Y53" s="71" t="s">
        <v>45</v>
      </c>
      <c r="Z53" s="71" t="s">
        <v>45</v>
      </c>
      <c r="AA53" s="71"/>
      <c r="AB53" s="71" t="s">
        <v>45</v>
      </c>
      <c r="AC53" s="71" t="s">
        <v>45</v>
      </c>
      <c r="AD53" s="71" t="s">
        <v>154</v>
      </c>
      <c r="AE53" s="71"/>
      <c r="AF53" s="71"/>
      <c r="AG53" s="136">
        <v>9342832165</v>
      </c>
      <c r="AH53" s="71"/>
    </row>
    <row r="54" spans="1:34" x14ac:dyDescent="0.35">
      <c r="A54" s="87">
        <v>53</v>
      </c>
      <c r="B54" s="87" t="s">
        <v>265</v>
      </c>
      <c r="C54" s="176" t="s">
        <v>266</v>
      </c>
      <c r="D54" s="177" t="s">
        <v>36</v>
      </c>
      <c r="E54" s="163" t="s">
        <v>37</v>
      </c>
      <c r="F54" s="140" t="s">
        <v>55</v>
      </c>
      <c r="G54" s="140" t="s">
        <v>197</v>
      </c>
      <c r="H54" s="140" t="s">
        <v>57</v>
      </c>
      <c r="I54" s="178" t="s">
        <v>135</v>
      </c>
      <c r="J54" s="142" t="s">
        <v>57</v>
      </c>
      <c r="K54" s="90">
        <v>46038</v>
      </c>
      <c r="L54" s="87" t="s">
        <v>45</v>
      </c>
      <c r="M54" s="87" t="s">
        <v>228</v>
      </c>
      <c r="N54" s="87" t="s">
        <v>41</v>
      </c>
      <c r="O54" s="87" t="s">
        <v>267</v>
      </c>
      <c r="P54" s="87" t="s">
        <v>268</v>
      </c>
      <c r="Q54" s="87" t="s">
        <v>269</v>
      </c>
      <c r="R54" s="87" t="s">
        <v>246</v>
      </c>
      <c r="S54" s="87" t="s">
        <v>127</v>
      </c>
      <c r="T54" s="87" t="s">
        <v>127</v>
      </c>
      <c r="U54" s="87" t="s">
        <v>45</v>
      </c>
      <c r="V54" s="87" t="s">
        <v>45</v>
      </c>
      <c r="W54" s="87" t="s">
        <v>45</v>
      </c>
      <c r="X54" s="87"/>
      <c r="Y54" s="87"/>
      <c r="Z54" s="87"/>
      <c r="AA54" s="87"/>
      <c r="AB54" s="87" t="s">
        <v>45</v>
      </c>
      <c r="AC54" s="87" t="s">
        <v>45</v>
      </c>
      <c r="AD54" s="87" t="s">
        <v>154</v>
      </c>
      <c r="AE54" s="87" t="s">
        <v>270</v>
      </c>
      <c r="AF54" s="91">
        <v>46176</v>
      </c>
      <c r="AG54" s="142">
        <v>7038065058</v>
      </c>
      <c r="AH54" s="87"/>
    </row>
    <row r="55" spans="1:34" x14ac:dyDescent="0.35">
      <c r="A55" s="87">
        <v>54</v>
      </c>
      <c r="B55" s="87" t="s">
        <v>271</v>
      </c>
      <c r="C55" s="88" t="s">
        <v>272</v>
      </c>
      <c r="D55" s="179" t="s">
        <v>36</v>
      </c>
      <c r="E55" s="129" t="s">
        <v>37</v>
      </c>
      <c r="F55" s="130" t="s">
        <v>55</v>
      </c>
      <c r="G55" s="131" t="s">
        <v>56</v>
      </c>
      <c r="H55" s="130" t="s">
        <v>57</v>
      </c>
      <c r="I55" s="132" t="s">
        <v>135</v>
      </c>
      <c r="J55" s="133" t="s">
        <v>57</v>
      </c>
      <c r="K55" s="180"/>
      <c r="L55" s="87" t="s">
        <v>127</v>
      </c>
      <c r="M55" s="87" t="s">
        <v>198</v>
      </c>
      <c r="N55" s="87" t="s">
        <v>59</v>
      </c>
      <c r="O55" s="87"/>
      <c r="P55" s="87"/>
      <c r="Q55" s="87"/>
      <c r="R55" s="87" t="s">
        <v>246</v>
      </c>
      <c r="S55" s="87" t="s">
        <v>127</v>
      </c>
      <c r="T55" s="87" t="s">
        <v>127</v>
      </c>
      <c r="U55" s="87" t="s">
        <v>127</v>
      </c>
      <c r="V55" s="87" t="s">
        <v>127</v>
      </c>
      <c r="W55" s="87" t="s">
        <v>63</v>
      </c>
      <c r="X55" s="87"/>
      <c r="Y55" s="87"/>
      <c r="Z55" s="87"/>
      <c r="AA55" s="87"/>
      <c r="AB55" s="87" t="s">
        <v>127</v>
      </c>
      <c r="AC55" s="87" t="s">
        <v>127</v>
      </c>
      <c r="AD55" s="87" t="s">
        <v>154</v>
      </c>
      <c r="AE55" s="87"/>
      <c r="AF55" s="87" t="s">
        <v>247</v>
      </c>
      <c r="AG55" s="133">
        <v>9539770741</v>
      </c>
      <c r="AH55" s="87"/>
    </row>
    <row r="56" spans="1:34" ht="58" x14ac:dyDescent="0.35">
      <c r="A56" s="71">
        <v>55</v>
      </c>
      <c r="B56" s="71" t="s">
        <v>273</v>
      </c>
      <c r="C56" s="2" t="s">
        <v>274</v>
      </c>
      <c r="D56" s="66" t="s">
        <v>36</v>
      </c>
      <c r="E56" s="6" t="s">
        <v>50</v>
      </c>
      <c r="F56" s="6" t="s">
        <v>55</v>
      </c>
      <c r="G56" s="6" t="s">
        <v>56</v>
      </c>
      <c r="H56" s="115" t="s">
        <v>57</v>
      </c>
      <c r="I56" s="115" t="s">
        <v>135</v>
      </c>
      <c r="J56" s="115" t="s">
        <v>57</v>
      </c>
      <c r="K56" s="134">
        <v>46035</v>
      </c>
      <c r="L56" s="71" t="s">
        <v>45</v>
      </c>
      <c r="M56" s="71" t="s">
        <v>198</v>
      </c>
      <c r="N56" s="71" t="s">
        <v>41</v>
      </c>
      <c r="O56" s="71" t="s">
        <v>267</v>
      </c>
      <c r="P56" s="71" t="s">
        <v>275</v>
      </c>
      <c r="Q56" s="71" t="s">
        <v>269</v>
      </c>
      <c r="R56" s="71" t="s">
        <v>83</v>
      </c>
      <c r="S56" s="71" t="s">
        <v>45</v>
      </c>
      <c r="T56" s="71" t="s">
        <v>45</v>
      </c>
      <c r="U56" s="71" t="s">
        <v>45</v>
      </c>
      <c r="V56" s="71" t="s">
        <v>45</v>
      </c>
      <c r="W56" s="71" t="s">
        <v>45</v>
      </c>
      <c r="X56" s="71" t="s">
        <v>45</v>
      </c>
      <c r="Y56" s="71"/>
      <c r="Z56" s="71"/>
      <c r="AA56" s="71"/>
      <c r="AB56" s="71" t="s">
        <v>45</v>
      </c>
      <c r="AC56" s="71" t="s">
        <v>45</v>
      </c>
      <c r="AD56" s="71" t="s">
        <v>154</v>
      </c>
      <c r="AE56" s="100" t="s">
        <v>276</v>
      </c>
      <c r="AF56" s="71"/>
      <c r="AG56" s="94">
        <v>9632285374</v>
      </c>
      <c r="AH56" s="71"/>
    </row>
    <row r="57" spans="1:34" x14ac:dyDescent="0.35">
      <c r="A57" s="71">
        <v>56</v>
      </c>
      <c r="B57" s="71" t="s">
        <v>277</v>
      </c>
      <c r="C57" s="175" t="s">
        <v>278</v>
      </c>
      <c r="D57" s="66" t="s">
        <v>36</v>
      </c>
      <c r="E57" s="64" t="s">
        <v>50</v>
      </c>
      <c r="F57" s="6" t="s">
        <v>55</v>
      </c>
      <c r="G57" s="6" t="s">
        <v>56</v>
      </c>
      <c r="H57" s="6" t="s">
        <v>52</v>
      </c>
      <c r="I57" s="115" t="s">
        <v>52</v>
      </c>
      <c r="J57" s="115" t="s">
        <v>68</v>
      </c>
      <c r="K57" s="134">
        <v>46013</v>
      </c>
      <c r="L57" s="71" t="s">
        <v>45</v>
      </c>
      <c r="M57" s="71" t="s">
        <v>198</v>
      </c>
      <c r="N57" s="71" t="s">
        <v>41</v>
      </c>
      <c r="O57" s="71" t="s">
        <v>267</v>
      </c>
      <c r="P57" s="71" t="s">
        <v>275</v>
      </c>
      <c r="Q57" s="71" t="s">
        <v>269</v>
      </c>
      <c r="R57" s="71" t="s">
        <v>61</v>
      </c>
      <c r="S57" s="71" t="s">
        <v>45</v>
      </c>
      <c r="T57" s="71" t="s">
        <v>45</v>
      </c>
      <c r="U57" s="71" t="s">
        <v>45</v>
      </c>
      <c r="V57" s="71" t="s">
        <v>45</v>
      </c>
      <c r="W57" s="71" t="s">
        <v>45</v>
      </c>
      <c r="X57" s="71" t="s">
        <v>45</v>
      </c>
      <c r="Y57" s="71" t="s">
        <v>45</v>
      </c>
      <c r="Z57" s="71"/>
      <c r="AA57" s="71"/>
      <c r="AB57" s="71" t="s">
        <v>45</v>
      </c>
      <c r="AC57" s="71" t="s">
        <v>45</v>
      </c>
      <c r="AD57" s="71"/>
      <c r="AE57" s="71" t="s">
        <v>279</v>
      </c>
      <c r="AF57" s="71"/>
      <c r="AG57" s="94">
        <v>8637439711</v>
      </c>
      <c r="AH57" s="71"/>
    </row>
    <row r="58" spans="1:34" x14ac:dyDescent="0.35">
      <c r="A58" s="87">
        <v>57</v>
      </c>
      <c r="B58" s="109" t="s">
        <v>280</v>
      </c>
      <c r="C58" s="176" t="s">
        <v>281</v>
      </c>
      <c r="D58" s="181" t="s">
        <v>36</v>
      </c>
      <c r="E58" s="182" t="s">
        <v>37</v>
      </c>
      <c r="F58" s="123" t="s">
        <v>55</v>
      </c>
      <c r="G58" s="123" t="s">
        <v>51</v>
      </c>
      <c r="H58" s="183" t="s">
        <v>57</v>
      </c>
      <c r="I58" s="183" t="s">
        <v>135</v>
      </c>
      <c r="J58" s="183" t="s">
        <v>57</v>
      </c>
      <c r="K58" s="184">
        <v>46044</v>
      </c>
      <c r="L58" s="87" t="s">
        <v>45</v>
      </c>
      <c r="M58" s="87" t="s">
        <v>40</v>
      </c>
      <c r="N58" s="87" t="s">
        <v>41</v>
      </c>
      <c r="O58" s="87" t="s">
        <v>199</v>
      </c>
      <c r="P58" s="87" t="s">
        <v>200</v>
      </c>
      <c r="Q58" s="87" t="s">
        <v>201</v>
      </c>
      <c r="R58" s="87" t="s">
        <v>61</v>
      </c>
      <c r="S58" s="87" t="s">
        <v>45</v>
      </c>
      <c r="T58" s="87" t="s">
        <v>45</v>
      </c>
      <c r="U58" s="87" t="s">
        <v>45</v>
      </c>
      <c r="V58" s="87" t="s">
        <v>45</v>
      </c>
      <c r="W58" s="87" t="s">
        <v>45</v>
      </c>
      <c r="X58" s="87"/>
      <c r="Y58" s="87"/>
      <c r="Z58" s="87"/>
      <c r="AA58" s="87"/>
      <c r="AB58" s="87" t="s">
        <v>45</v>
      </c>
      <c r="AC58" s="87" t="s">
        <v>45</v>
      </c>
      <c r="AD58" s="87" t="s">
        <v>62</v>
      </c>
      <c r="AE58" s="87" t="s">
        <v>270</v>
      </c>
      <c r="AF58" s="91">
        <v>46220</v>
      </c>
      <c r="AG58" s="89">
        <v>9573653531</v>
      </c>
      <c r="AH58" s="87"/>
    </row>
    <row r="59" spans="1:34" x14ac:dyDescent="0.35">
      <c r="A59" s="71">
        <v>58</v>
      </c>
      <c r="B59" s="117" t="s">
        <v>282</v>
      </c>
      <c r="C59" s="2" t="s">
        <v>283</v>
      </c>
      <c r="D59" s="66" t="s">
        <v>36</v>
      </c>
      <c r="E59" s="64" t="s">
        <v>50</v>
      </c>
      <c r="F59" s="6" t="s">
        <v>55</v>
      </c>
      <c r="G59" s="6" t="s">
        <v>197</v>
      </c>
      <c r="H59" s="115" t="s">
        <v>57</v>
      </c>
      <c r="I59" s="115" t="s">
        <v>135</v>
      </c>
      <c r="J59" s="115" t="s">
        <v>57</v>
      </c>
      <c r="K59" s="134">
        <v>46038</v>
      </c>
      <c r="L59" s="71" t="s">
        <v>45</v>
      </c>
      <c r="M59" s="71" t="s">
        <v>228</v>
      </c>
      <c r="N59" s="71" t="s">
        <v>41</v>
      </c>
      <c r="O59" s="71" t="s">
        <v>267</v>
      </c>
      <c r="P59" s="71" t="s">
        <v>268</v>
      </c>
      <c r="Q59" s="71" t="s">
        <v>269</v>
      </c>
      <c r="R59" s="71" t="s">
        <v>246</v>
      </c>
      <c r="S59" s="71" t="s">
        <v>127</v>
      </c>
      <c r="T59" s="71" t="s">
        <v>127</v>
      </c>
      <c r="U59" s="71" t="s">
        <v>45</v>
      </c>
      <c r="V59" s="71" t="s">
        <v>45</v>
      </c>
      <c r="W59" s="71" t="s">
        <v>45</v>
      </c>
      <c r="X59" s="71"/>
      <c r="Y59" s="71"/>
      <c r="Z59" s="71"/>
      <c r="AA59" s="71"/>
      <c r="AB59" s="71" t="s">
        <v>45</v>
      </c>
      <c r="AC59" s="71" t="s">
        <v>284</v>
      </c>
      <c r="AD59" s="71" t="s">
        <v>154</v>
      </c>
      <c r="AE59" s="71" t="s">
        <v>285</v>
      </c>
      <c r="AF59" s="71"/>
      <c r="AG59" s="94">
        <v>8180059859</v>
      </c>
      <c r="AH59" s="71"/>
    </row>
    <row r="60" spans="1:34" x14ac:dyDescent="0.35">
      <c r="A60" s="71">
        <v>59</v>
      </c>
      <c r="B60" s="186" t="s">
        <v>286</v>
      </c>
      <c r="C60" s="114" t="s">
        <v>287</v>
      </c>
      <c r="D60" s="66" t="s">
        <v>36</v>
      </c>
      <c r="E60" s="64" t="s">
        <v>50</v>
      </c>
      <c r="F60" s="6" t="s">
        <v>55</v>
      </c>
      <c r="G60" s="6" t="s">
        <v>51</v>
      </c>
      <c r="H60" s="6" t="s">
        <v>52</v>
      </c>
      <c r="I60" s="115" t="s">
        <v>52</v>
      </c>
      <c r="J60" s="115" t="s">
        <v>68</v>
      </c>
      <c r="K60" s="134">
        <v>46379</v>
      </c>
      <c r="L60" s="71" t="s">
        <v>45</v>
      </c>
      <c r="M60" s="71" t="s">
        <v>123</v>
      </c>
      <c r="N60" s="71" t="s">
        <v>124</v>
      </c>
      <c r="O60" t="s">
        <v>125</v>
      </c>
      <c r="P60" s="71" t="s">
        <v>124</v>
      </c>
      <c r="Q60" s="71" t="s">
        <v>58</v>
      </c>
      <c r="R60" s="71" t="s">
        <v>61</v>
      </c>
      <c r="S60" s="71" t="s">
        <v>45</v>
      </c>
      <c r="T60" s="71" t="s">
        <v>45</v>
      </c>
      <c r="U60" s="71" t="s">
        <v>62</v>
      </c>
      <c r="V60" s="71" t="s">
        <v>62</v>
      </c>
      <c r="W60" s="71" t="s">
        <v>63</v>
      </c>
      <c r="X60" s="71" t="s">
        <v>63</v>
      </c>
      <c r="Y60" s="71" t="s">
        <v>45</v>
      </c>
      <c r="Z60" s="71" t="s">
        <v>45</v>
      </c>
      <c r="AA60" s="71"/>
      <c r="AB60" s="71" t="s">
        <v>45</v>
      </c>
      <c r="AC60" s="71" t="s">
        <v>45</v>
      </c>
      <c r="AD60" s="71" t="s">
        <v>154</v>
      </c>
      <c r="AE60" s="71"/>
      <c r="AF60" s="71"/>
      <c r="AG60" s="94">
        <v>8639786879</v>
      </c>
      <c r="AH60" s="71"/>
    </row>
    <row r="61" spans="1:34" x14ac:dyDescent="0.35">
      <c r="A61" s="87">
        <v>60</v>
      </c>
      <c r="B61" s="110" t="s">
        <v>288</v>
      </c>
      <c r="C61" s="88" t="s">
        <v>289</v>
      </c>
      <c r="D61" s="187" t="s">
        <v>36</v>
      </c>
      <c r="E61" s="188" t="s">
        <v>37</v>
      </c>
      <c r="F61" s="152"/>
      <c r="G61" s="152" t="s">
        <v>56</v>
      </c>
      <c r="H61" s="152"/>
      <c r="I61" s="154" t="s">
        <v>52</v>
      </c>
      <c r="J61" s="106"/>
      <c r="K61" s="90"/>
      <c r="L61" s="87"/>
      <c r="M61" s="87" t="s">
        <v>198</v>
      </c>
      <c r="N61" s="87" t="s">
        <v>41</v>
      </c>
      <c r="O61" s="87" t="s">
        <v>199</v>
      </c>
      <c r="P61" s="87" t="s">
        <v>200</v>
      </c>
      <c r="Q61" s="87" t="s">
        <v>201</v>
      </c>
      <c r="R61" s="87"/>
      <c r="S61" s="87"/>
      <c r="T61" s="87"/>
      <c r="U61" s="87" t="s">
        <v>45</v>
      </c>
      <c r="V61" s="87" t="s">
        <v>45</v>
      </c>
      <c r="W61" s="87" t="s">
        <v>45</v>
      </c>
      <c r="X61" s="87"/>
      <c r="Y61" s="87"/>
      <c r="Z61" s="87"/>
      <c r="AA61" s="87"/>
      <c r="AB61" s="87" t="s">
        <v>45</v>
      </c>
      <c r="AC61" s="87"/>
      <c r="AD61" s="87"/>
      <c r="AE61" s="189" t="s">
        <v>290</v>
      </c>
      <c r="AF61" s="91"/>
      <c r="AG61" s="89" t="s">
        <v>291</v>
      </c>
      <c r="AH61" s="87"/>
    </row>
    <row r="62" spans="1:34" x14ac:dyDescent="0.35">
      <c r="A62" s="71">
        <v>61</v>
      </c>
      <c r="B62" s="186" t="s">
        <v>292</v>
      </c>
      <c r="C62" s="175" t="s">
        <v>293</v>
      </c>
      <c r="D62" s="66" t="s">
        <v>36</v>
      </c>
      <c r="E62" s="6" t="s">
        <v>50</v>
      </c>
      <c r="F62" s="6" t="s">
        <v>55</v>
      </c>
      <c r="G62" s="6" t="s">
        <v>56</v>
      </c>
      <c r="H62" s="6" t="s">
        <v>52</v>
      </c>
      <c r="I62" s="115" t="s">
        <v>52</v>
      </c>
      <c r="J62" s="115" t="s">
        <v>68</v>
      </c>
      <c r="K62" s="134">
        <v>46013</v>
      </c>
      <c r="L62" s="71" t="s">
        <v>45</v>
      </c>
      <c r="M62" s="71" t="s">
        <v>198</v>
      </c>
      <c r="N62" s="71" t="s">
        <v>41</v>
      </c>
      <c r="O62" s="71" t="s">
        <v>199</v>
      </c>
      <c r="P62" s="71" t="s">
        <v>200</v>
      </c>
      <c r="Q62" s="71" t="s">
        <v>201</v>
      </c>
      <c r="R62" s="71" t="s">
        <v>83</v>
      </c>
      <c r="S62" s="71" t="s">
        <v>45</v>
      </c>
      <c r="T62" s="71" t="s">
        <v>45</v>
      </c>
      <c r="U62" s="71" t="s">
        <v>45</v>
      </c>
      <c r="V62" s="71" t="s">
        <v>45</v>
      </c>
      <c r="W62" s="71" t="s">
        <v>45</v>
      </c>
      <c r="X62" s="71" t="s">
        <v>45</v>
      </c>
      <c r="Y62" s="71"/>
      <c r="Z62" s="71" t="s">
        <v>45</v>
      </c>
      <c r="AA62" s="71"/>
      <c r="AB62" s="71" t="s">
        <v>45</v>
      </c>
      <c r="AC62" s="71" t="s">
        <v>127</v>
      </c>
      <c r="AD62" s="71" t="s">
        <v>154</v>
      </c>
      <c r="AE62" s="190" t="s">
        <v>294</v>
      </c>
      <c r="AF62" s="71"/>
      <c r="AG62" s="94">
        <v>7449269104</v>
      </c>
      <c r="AH62" s="71"/>
    </row>
    <row r="63" spans="1:34" ht="29" x14ac:dyDescent="0.35">
      <c r="A63" s="71">
        <v>62</v>
      </c>
      <c r="B63" s="186" t="s">
        <v>295</v>
      </c>
      <c r="C63" s="175" t="s">
        <v>296</v>
      </c>
      <c r="D63" s="6" t="s">
        <v>36</v>
      </c>
      <c r="E63" s="191" t="s">
        <v>50</v>
      </c>
      <c r="F63" s="192" t="s">
        <v>55</v>
      </c>
      <c r="G63" s="192" t="s">
        <v>56</v>
      </c>
      <c r="H63" s="192" t="s">
        <v>52</v>
      </c>
      <c r="I63" s="193" t="s">
        <v>52</v>
      </c>
      <c r="J63" s="194" t="s">
        <v>68</v>
      </c>
      <c r="K63" s="95">
        <v>46013</v>
      </c>
      <c r="L63" s="71" t="s">
        <v>45</v>
      </c>
      <c r="M63" s="71" t="s">
        <v>198</v>
      </c>
      <c r="N63" s="71" t="s">
        <v>59</v>
      </c>
      <c r="O63" s="71" t="s">
        <v>76</v>
      </c>
      <c r="P63" s="71" t="s">
        <v>255</v>
      </c>
      <c r="Q63" s="71" t="s">
        <v>297</v>
      </c>
      <c r="R63" s="71" t="s">
        <v>61</v>
      </c>
      <c r="S63" s="71" t="s">
        <v>45</v>
      </c>
      <c r="T63" s="71" t="s">
        <v>45</v>
      </c>
      <c r="U63" s="71" t="s">
        <v>45</v>
      </c>
      <c r="V63" s="71" t="s">
        <v>45</v>
      </c>
      <c r="W63" s="71" t="s">
        <v>45</v>
      </c>
      <c r="X63" s="71" t="s">
        <v>45</v>
      </c>
      <c r="Y63" s="71" t="s">
        <v>45</v>
      </c>
      <c r="Z63" s="71" t="s">
        <v>45</v>
      </c>
      <c r="AA63" s="71"/>
      <c r="AB63" s="71" t="s">
        <v>45</v>
      </c>
      <c r="AC63" s="71" t="s">
        <v>45</v>
      </c>
      <c r="AD63" s="71" t="s">
        <v>154</v>
      </c>
      <c r="AE63" s="100" t="s">
        <v>298</v>
      </c>
      <c r="AF63" s="71"/>
      <c r="AG63" s="94">
        <v>7026053839</v>
      </c>
      <c r="AH63" s="71"/>
    </row>
    <row r="64" spans="1:34" x14ac:dyDescent="0.35">
      <c r="A64" s="71">
        <v>63</v>
      </c>
      <c r="B64" s="195" t="s">
        <v>299</v>
      </c>
      <c r="C64" s="175" t="s">
        <v>300</v>
      </c>
      <c r="D64" s="6" t="s">
        <v>36</v>
      </c>
      <c r="E64" s="6" t="s">
        <v>50</v>
      </c>
      <c r="F64" s="6" t="s">
        <v>55</v>
      </c>
      <c r="G64" s="6" t="s">
        <v>51</v>
      </c>
      <c r="H64" s="6" t="s">
        <v>52</v>
      </c>
      <c r="I64" s="6" t="s">
        <v>52</v>
      </c>
      <c r="J64" s="196" t="s">
        <v>68</v>
      </c>
      <c r="K64" s="95">
        <v>46373</v>
      </c>
      <c r="L64" s="71" t="s">
        <v>45</v>
      </c>
      <c r="M64" s="71" t="s">
        <v>198</v>
      </c>
      <c r="N64" s="71" t="s">
        <v>41</v>
      </c>
      <c r="O64" s="71" t="s">
        <v>199</v>
      </c>
      <c r="P64" s="71" t="s">
        <v>200</v>
      </c>
      <c r="Q64" s="71" t="s">
        <v>201</v>
      </c>
      <c r="R64" s="71" t="s">
        <v>246</v>
      </c>
      <c r="S64" s="71" t="s">
        <v>45</v>
      </c>
      <c r="T64" s="71" t="s">
        <v>45</v>
      </c>
      <c r="U64" s="71" t="s">
        <v>45</v>
      </c>
      <c r="V64" s="71" t="s">
        <v>45</v>
      </c>
      <c r="W64" s="71" t="s">
        <v>45</v>
      </c>
      <c r="X64" s="71" t="s">
        <v>45</v>
      </c>
      <c r="Y64" s="71" t="s">
        <v>45</v>
      </c>
      <c r="Z64" s="71" t="s">
        <v>45</v>
      </c>
      <c r="AA64" s="71"/>
      <c r="AB64" s="71" t="s">
        <v>45</v>
      </c>
      <c r="AC64" s="71" t="s">
        <v>45</v>
      </c>
      <c r="AD64" s="71" t="s">
        <v>154</v>
      </c>
      <c r="AE64" s="100" t="s">
        <v>301</v>
      </c>
      <c r="AF64" s="71"/>
      <c r="AG64" s="94">
        <v>7287063062</v>
      </c>
      <c r="AH64" s="71"/>
    </row>
    <row r="65" spans="1:34" x14ac:dyDescent="0.35">
      <c r="A65" s="87">
        <v>64</v>
      </c>
      <c r="B65" s="197" t="s">
        <v>302</v>
      </c>
      <c r="C65" s="198" t="s">
        <v>303</v>
      </c>
      <c r="D65" s="187" t="s">
        <v>36</v>
      </c>
      <c r="E65" s="110" t="s">
        <v>37</v>
      </c>
      <c r="F65" s="153" t="s">
        <v>55</v>
      </c>
      <c r="G65" s="152" t="s">
        <v>101</v>
      </c>
      <c r="H65" s="153" t="s">
        <v>57</v>
      </c>
      <c r="I65" s="154" t="s">
        <v>135</v>
      </c>
      <c r="J65" s="89" t="s">
        <v>57</v>
      </c>
      <c r="K65" s="180"/>
      <c r="L65" s="87" t="s">
        <v>127</v>
      </c>
      <c r="M65" s="87" t="s">
        <v>233</v>
      </c>
      <c r="N65" s="87" t="s">
        <v>59</v>
      </c>
      <c r="O65" s="87"/>
      <c r="P65" s="87"/>
      <c r="Q65" s="87"/>
      <c r="R65" s="87" t="s">
        <v>246</v>
      </c>
      <c r="S65" s="87" t="s">
        <v>127</v>
      </c>
      <c r="T65" s="87" t="s">
        <v>127</v>
      </c>
      <c r="U65" s="87" t="s">
        <v>127</v>
      </c>
      <c r="V65" s="87" t="s">
        <v>127</v>
      </c>
      <c r="W65" s="87" t="s">
        <v>63</v>
      </c>
      <c r="X65" s="87"/>
      <c r="Y65" s="87"/>
      <c r="Z65" s="87"/>
      <c r="AA65" s="87"/>
      <c r="AB65" s="87" t="s">
        <v>127</v>
      </c>
      <c r="AC65" s="87" t="s">
        <v>127</v>
      </c>
      <c r="AD65" s="87" t="s">
        <v>154</v>
      </c>
      <c r="AE65" s="87"/>
      <c r="AF65" s="87" t="s">
        <v>247</v>
      </c>
      <c r="AG65" s="89">
        <v>9503446593</v>
      </c>
      <c r="AH65" s="87"/>
    </row>
    <row r="66" spans="1:34" x14ac:dyDescent="0.35">
      <c r="A66" s="119">
        <v>65</v>
      </c>
      <c r="B66" s="92" t="s">
        <v>304</v>
      </c>
      <c r="C66" s="175" t="s">
        <v>305</v>
      </c>
      <c r="D66" s="6" t="s">
        <v>36</v>
      </c>
      <c r="E66" s="6" t="s">
        <v>50</v>
      </c>
      <c r="F66" s="6" t="s">
        <v>55</v>
      </c>
      <c r="G66" s="6" t="s">
        <v>101</v>
      </c>
      <c r="H66" s="6" t="s">
        <v>39</v>
      </c>
      <c r="I66" s="115" t="s">
        <v>39</v>
      </c>
      <c r="J66" s="97" t="s">
        <v>57</v>
      </c>
      <c r="K66" s="95">
        <v>46029</v>
      </c>
      <c r="L66" s="71" t="s">
        <v>45</v>
      </c>
      <c r="M66" s="71" t="s">
        <v>219</v>
      </c>
      <c r="N66" s="119" t="s">
        <v>41</v>
      </c>
      <c r="O66" s="157" t="s">
        <v>42</v>
      </c>
      <c r="P66" s="157" t="s">
        <v>306</v>
      </c>
      <c r="Q66" t="s">
        <v>307</v>
      </c>
      <c r="R66" s="119" t="s">
        <v>246</v>
      </c>
      <c r="S66" s="119" t="s">
        <v>127</v>
      </c>
      <c r="T66" s="119" t="s">
        <v>127</v>
      </c>
      <c r="U66" s="119" t="s">
        <v>45</v>
      </c>
      <c r="V66" s="119" t="s">
        <v>45</v>
      </c>
      <c r="W66" s="119" t="s">
        <v>45</v>
      </c>
      <c r="X66" s="119" t="s">
        <v>45</v>
      </c>
      <c r="Y66" s="119" t="s">
        <v>45</v>
      </c>
      <c r="Z66" s="119" t="s">
        <v>45</v>
      </c>
      <c r="AA66" s="119"/>
      <c r="AB66" s="119" t="s">
        <v>45</v>
      </c>
      <c r="AC66" s="119" t="s">
        <v>45</v>
      </c>
      <c r="AD66" s="119" t="s">
        <v>154</v>
      </c>
      <c r="AE66" s="119"/>
      <c r="AF66" s="199"/>
      <c r="AG66" s="158">
        <v>9599413710</v>
      </c>
      <c r="AH66" s="119"/>
    </row>
    <row r="67" spans="1:34" x14ac:dyDescent="0.35">
      <c r="A67" s="87">
        <v>66</v>
      </c>
      <c r="B67" s="87" t="s">
        <v>308</v>
      </c>
      <c r="C67" s="200" t="s">
        <v>309</v>
      </c>
      <c r="D67" s="188" t="s">
        <v>36</v>
      </c>
      <c r="E67" s="152" t="s">
        <v>37</v>
      </c>
      <c r="F67" s="201" t="s">
        <v>55</v>
      </c>
      <c r="G67" s="152" t="s">
        <v>51</v>
      </c>
      <c r="H67" s="153" t="s">
        <v>57</v>
      </c>
      <c r="I67" s="154" t="s">
        <v>135</v>
      </c>
      <c r="J67" s="89" t="s">
        <v>57</v>
      </c>
      <c r="K67" s="90"/>
      <c r="L67" s="87" t="s">
        <v>45</v>
      </c>
      <c r="M67" s="87" t="s">
        <v>40</v>
      </c>
      <c r="N67" s="87" t="s">
        <v>41</v>
      </c>
      <c r="O67" s="87"/>
      <c r="P67" s="87"/>
      <c r="Q67" s="87"/>
      <c r="R67" s="87" t="s">
        <v>246</v>
      </c>
      <c r="S67" s="87" t="s">
        <v>127</v>
      </c>
      <c r="T67" s="87" t="s">
        <v>127</v>
      </c>
      <c r="U67" s="87" t="s">
        <v>127</v>
      </c>
      <c r="V67" s="87" t="s">
        <v>127</v>
      </c>
      <c r="W67" s="87"/>
      <c r="X67" s="87"/>
      <c r="Y67" s="87"/>
      <c r="Z67" s="87"/>
      <c r="AA67" s="87"/>
      <c r="AB67" s="87" t="s">
        <v>127</v>
      </c>
      <c r="AC67" s="87" t="s">
        <v>127</v>
      </c>
      <c r="AD67" s="87" t="s">
        <v>154</v>
      </c>
      <c r="AE67" s="137"/>
      <c r="AF67" s="123"/>
      <c r="AG67" s="202">
        <v>9891901905</v>
      </c>
      <c r="AH67" s="87"/>
    </row>
    <row r="68" spans="1:34" x14ac:dyDescent="0.35">
      <c r="A68" s="71">
        <v>67</v>
      </c>
      <c r="B68" s="92" t="s">
        <v>310</v>
      </c>
      <c r="C68" s="175" t="s">
        <v>311</v>
      </c>
      <c r="D68" s="6" t="s">
        <v>36</v>
      </c>
      <c r="E68" s="64" t="s">
        <v>50</v>
      </c>
      <c r="F68" s="6" t="s">
        <v>55</v>
      </c>
      <c r="G68" s="6" t="s">
        <v>56</v>
      </c>
      <c r="H68" s="6" t="s">
        <v>68</v>
      </c>
      <c r="I68" s="115" t="s">
        <v>166</v>
      </c>
      <c r="J68" s="196" t="s">
        <v>68</v>
      </c>
      <c r="K68" s="95">
        <v>46031</v>
      </c>
      <c r="L68" s="71" t="s">
        <v>45</v>
      </c>
      <c r="M68" s="71" t="s">
        <v>312</v>
      </c>
      <c r="N68" s="6" t="s">
        <v>87</v>
      </c>
      <c r="O68" s="104" t="s">
        <v>88</v>
      </c>
      <c r="P68" s="6"/>
      <c r="Q68" s="6" t="s">
        <v>313</v>
      </c>
      <c r="R68" s="71" t="s">
        <v>246</v>
      </c>
      <c r="S68" s="71" t="s">
        <v>45</v>
      </c>
      <c r="T68" s="71" t="s">
        <v>127</v>
      </c>
      <c r="U68" s="71" t="s">
        <v>127</v>
      </c>
      <c r="V68" s="71" t="s">
        <v>127</v>
      </c>
      <c r="W68" s="71" t="s">
        <v>45</v>
      </c>
      <c r="X68" s="71" t="s">
        <v>45</v>
      </c>
      <c r="Y68" s="71"/>
      <c r="Z68" s="71" t="s">
        <v>45</v>
      </c>
      <c r="AA68" s="71" t="s">
        <v>45</v>
      </c>
      <c r="AB68" s="71" t="s">
        <v>127</v>
      </c>
      <c r="AC68" s="71" t="s">
        <v>45</v>
      </c>
      <c r="AD68" s="71" t="s">
        <v>154</v>
      </c>
      <c r="AE68" s="71" t="s">
        <v>314</v>
      </c>
      <c r="AF68" s="203"/>
      <c r="AG68" s="136">
        <v>6309347653</v>
      </c>
      <c r="AH68" s="71"/>
    </row>
    <row r="69" spans="1:34" x14ac:dyDescent="0.35">
      <c r="A69" s="71">
        <v>68</v>
      </c>
      <c r="B69" s="71" t="s">
        <v>315</v>
      </c>
      <c r="C69" s="101" t="s">
        <v>316</v>
      </c>
      <c r="D69" s="203" t="s">
        <v>36</v>
      </c>
      <c r="E69" s="93" t="s">
        <v>50</v>
      </c>
      <c r="F69" s="203" t="s">
        <v>55</v>
      </c>
      <c r="G69" s="203" t="s">
        <v>56</v>
      </c>
      <c r="H69" s="204" t="s">
        <v>57</v>
      </c>
      <c r="I69" s="193" t="s">
        <v>149</v>
      </c>
      <c r="J69" s="97" t="s">
        <v>57</v>
      </c>
      <c r="K69" s="95">
        <v>46032</v>
      </c>
      <c r="L69" s="71" t="s">
        <v>45</v>
      </c>
      <c r="M69" s="71" t="s">
        <v>317</v>
      </c>
      <c r="N69" s="71" t="s">
        <v>41</v>
      </c>
      <c r="O69" s="71" t="s">
        <v>42</v>
      </c>
      <c r="P69" s="71" t="s">
        <v>131</v>
      </c>
      <c r="Q69" s="71" t="s">
        <v>132</v>
      </c>
      <c r="R69" s="71" t="s">
        <v>61</v>
      </c>
      <c r="S69" s="71" t="s">
        <v>45</v>
      </c>
      <c r="T69" s="71" t="s">
        <v>45</v>
      </c>
      <c r="U69" s="71" t="s">
        <v>45</v>
      </c>
      <c r="V69" s="71" t="s">
        <v>45</v>
      </c>
      <c r="W69" s="71" t="s">
        <v>45</v>
      </c>
      <c r="X69" s="71"/>
      <c r="Y69" s="71"/>
      <c r="Z69" s="71"/>
      <c r="AA69" s="71"/>
      <c r="AB69" s="71" t="s">
        <v>45</v>
      </c>
      <c r="AC69" s="71" t="s">
        <v>45</v>
      </c>
      <c r="AD69" s="71" t="s">
        <v>154</v>
      </c>
      <c r="AE69" s="71" t="s">
        <v>314</v>
      </c>
      <c r="AF69" s="71"/>
      <c r="AG69" s="94">
        <v>9059056279</v>
      </c>
      <c r="AH69" s="71"/>
    </row>
    <row r="70" spans="1:34" ht="87" x14ac:dyDescent="0.35">
      <c r="A70" s="71">
        <v>69</v>
      </c>
      <c r="B70" s="205" t="s">
        <v>318</v>
      </c>
      <c r="C70" s="74" t="s">
        <v>319</v>
      </c>
      <c r="D70" s="71" t="s">
        <v>36</v>
      </c>
      <c r="E70" s="93" t="s">
        <v>50</v>
      </c>
      <c r="F70" s="71" t="s">
        <v>55</v>
      </c>
      <c r="G70" s="71" t="s">
        <v>51</v>
      </c>
      <c r="H70" s="74" t="s">
        <v>39</v>
      </c>
      <c r="I70" s="116" t="s">
        <v>39</v>
      </c>
      <c r="J70" s="94" t="s">
        <v>57</v>
      </c>
      <c r="K70" s="95">
        <v>46032</v>
      </c>
      <c r="L70" s="71" t="s">
        <v>45</v>
      </c>
      <c r="M70" s="71" t="s">
        <v>233</v>
      </c>
      <c r="N70" s="71" t="s">
        <v>59</v>
      </c>
      <c r="O70" s="98" t="s">
        <v>69</v>
      </c>
      <c r="P70" s="98" t="s">
        <v>234</v>
      </c>
      <c r="Q70" s="71" t="s">
        <v>235</v>
      </c>
      <c r="R70" s="71" t="s">
        <v>320</v>
      </c>
      <c r="S70" s="71" t="s">
        <v>45</v>
      </c>
      <c r="T70" s="71" t="s">
        <v>45</v>
      </c>
      <c r="U70" s="71" t="s">
        <v>45</v>
      </c>
      <c r="V70" s="71" t="s">
        <v>45</v>
      </c>
      <c r="W70" s="71" t="s">
        <v>45</v>
      </c>
      <c r="X70" s="71" t="s">
        <v>45</v>
      </c>
      <c r="Y70" s="71" t="s">
        <v>45</v>
      </c>
      <c r="Z70" s="71" t="s">
        <v>45</v>
      </c>
      <c r="AA70" s="71" t="s">
        <v>63</v>
      </c>
      <c r="AB70" s="71" t="s">
        <v>45</v>
      </c>
      <c r="AC70" s="71" t="s">
        <v>45</v>
      </c>
      <c r="AD70" s="71" t="s">
        <v>64</v>
      </c>
      <c r="AE70" s="100" t="s">
        <v>321</v>
      </c>
      <c r="AF70" s="100"/>
      <c r="AG70" s="71">
        <v>9550411377</v>
      </c>
      <c r="AH70" s="71"/>
    </row>
    <row r="71" spans="1:34" x14ac:dyDescent="0.35">
      <c r="A71" s="71">
        <v>70</v>
      </c>
      <c r="B71" s="92" t="s">
        <v>322</v>
      </c>
      <c r="C71" s="206" t="s">
        <v>323</v>
      </c>
      <c r="D71" s="71" t="s">
        <v>36</v>
      </c>
      <c r="E71" s="71" t="s">
        <v>50</v>
      </c>
      <c r="F71" s="71" t="s">
        <v>55</v>
      </c>
      <c r="G71" s="71" t="s">
        <v>56</v>
      </c>
      <c r="H71" s="71" t="s">
        <v>52</v>
      </c>
      <c r="I71" s="94" t="s">
        <v>52</v>
      </c>
      <c r="J71" s="94" t="s">
        <v>57</v>
      </c>
      <c r="K71" s="95">
        <v>46034</v>
      </c>
      <c r="L71" s="71" t="s">
        <v>45</v>
      </c>
      <c r="M71" s="71" t="s">
        <v>198</v>
      </c>
      <c r="N71" s="71" t="s">
        <v>41</v>
      </c>
      <c r="O71" s="71" t="s">
        <v>267</v>
      </c>
      <c r="P71" s="71" t="s">
        <v>275</v>
      </c>
      <c r="Q71" s="71" t="s">
        <v>269</v>
      </c>
      <c r="R71" s="71" t="s">
        <v>246</v>
      </c>
      <c r="S71" s="71" t="s">
        <v>127</v>
      </c>
      <c r="T71" s="71" t="s">
        <v>127</v>
      </c>
      <c r="U71" s="71" t="s">
        <v>45</v>
      </c>
      <c r="V71" s="71" t="s">
        <v>45</v>
      </c>
      <c r="W71" s="71" t="s">
        <v>45</v>
      </c>
      <c r="X71" s="71"/>
      <c r="Y71" s="71" t="s">
        <v>45</v>
      </c>
      <c r="Z71" s="71" t="s">
        <v>45</v>
      </c>
      <c r="AA71" s="71"/>
      <c r="AB71" s="71" t="s">
        <v>45</v>
      </c>
      <c r="AC71" s="71" t="s">
        <v>127</v>
      </c>
      <c r="AD71" s="71" t="s">
        <v>154</v>
      </c>
      <c r="AE71" s="71" t="s">
        <v>301</v>
      </c>
      <c r="AF71" s="71"/>
      <c r="AG71" s="94">
        <v>9538072092</v>
      </c>
      <c r="AH71" s="71"/>
    </row>
    <row r="72" spans="1:34" x14ac:dyDescent="0.35">
      <c r="A72" s="119">
        <v>71</v>
      </c>
      <c r="B72" s="117" t="s">
        <v>324</v>
      </c>
      <c r="C72" s="101" t="s">
        <v>325</v>
      </c>
      <c r="D72" s="71" t="s">
        <v>36</v>
      </c>
      <c r="E72" s="93" t="s">
        <v>50</v>
      </c>
      <c r="F72" s="71" t="s">
        <v>55</v>
      </c>
      <c r="G72" s="71" t="s">
        <v>51</v>
      </c>
      <c r="H72" s="71" t="s">
        <v>39</v>
      </c>
      <c r="I72" s="94" t="s">
        <v>39</v>
      </c>
      <c r="J72" s="94" t="s">
        <v>57</v>
      </c>
      <c r="K72" s="95">
        <v>45988</v>
      </c>
      <c r="L72" s="71" t="s">
        <v>45</v>
      </c>
      <c r="M72" s="71" t="s">
        <v>110</v>
      </c>
      <c r="N72" s="119" t="s">
        <v>59</v>
      </c>
      <c r="O72" s="157" t="s">
        <v>76</v>
      </c>
      <c r="P72" s="157" t="s">
        <v>326</v>
      </c>
      <c r="Q72" s="119" t="s">
        <v>159</v>
      </c>
      <c r="R72" s="119" t="s">
        <v>61</v>
      </c>
      <c r="S72" s="119" t="s">
        <v>45</v>
      </c>
      <c r="T72" s="119" t="s">
        <v>45</v>
      </c>
      <c r="U72" s="119" t="s">
        <v>45</v>
      </c>
      <c r="V72" s="119" t="s">
        <v>62</v>
      </c>
      <c r="W72" s="119" t="s">
        <v>45</v>
      </c>
      <c r="X72" s="119" t="s">
        <v>45</v>
      </c>
      <c r="Y72" s="119" t="s">
        <v>45</v>
      </c>
      <c r="Z72" s="119" t="s">
        <v>45</v>
      </c>
      <c r="AA72" s="119" t="s">
        <v>63</v>
      </c>
      <c r="AB72" s="119" t="s">
        <v>45</v>
      </c>
      <c r="AC72" s="119" t="s">
        <v>45</v>
      </c>
      <c r="AD72" s="119" t="s">
        <v>154</v>
      </c>
      <c r="AE72" s="119" t="s">
        <v>327</v>
      </c>
      <c r="AF72" s="119"/>
      <c r="AG72" s="158">
        <v>9618241586</v>
      </c>
      <c r="AH72" s="119"/>
    </row>
    <row r="73" spans="1:34" x14ac:dyDescent="0.35">
      <c r="A73" s="71">
        <v>72</v>
      </c>
      <c r="B73" s="207" t="s">
        <v>328</v>
      </c>
      <c r="C73" s="101" t="s">
        <v>329</v>
      </c>
      <c r="D73" s="71" t="s">
        <v>36</v>
      </c>
      <c r="E73" s="93" t="s">
        <v>50</v>
      </c>
      <c r="F73" s="71" t="s">
        <v>55</v>
      </c>
      <c r="G73" t="s">
        <v>101</v>
      </c>
      <c r="H73" s="71" t="s">
        <v>39</v>
      </c>
      <c r="I73" s="71" t="s">
        <v>39</v>
      </c>
      <c r="J73" s="208" t="s">
        <v>57</v>
      </c>
      <c r="K73" s="95">
        <v>46036</v>
      </c>
      <c r="L73" s="71" t="s">
        <v>45</v>
      </c>
      <c r="M73" s="71" t="s">
        <v>110</v>
      </c>
      <c r="N73" s="71" t="s">
        <v>59</v>
      </c>
      <c r="O73" s="98" t="s">
        <v>76</v>
      </c>
      <c r="P73" s="98" t="s">
        <v>326</v>
      </c>
      <c r="Q73" s="71" t="s">
        <v>159</v>
      </c>
      <c r="R73" s="71" t="s">
        <v>61</v>
      </c>
      <c r="S73" s="71" t="s">
        <v>45</v>
      </c>
      <c r="T73" s="71" t="s">
        <v>45</v>
      </c>
      <c r="U73" s="71" t="s">
        <v>45</v>
      </c>
      <c r="V73" s="71" t="s">
        <v>62</v>
      </c>
      <c r="W73" s="71" t="s">
        <v>45</v>
      </c>
      <c r="X73" s="119" t="s">
        <v>45</v>
      </c>
      <c r="Y73" s="119" t="s">
        <v>45</v>
      </c>
      <c r="Z73" s="119" t="s">
        <v>45</v>
      </c>
      <c r="AA73" s="119" t="s">
        <v>63</v>
      </c>
      <c r="AB73" s="71" t="s">
        <v>45</v>
      </c>
      <c r="AC73" s="71" t="s">
        <v>45</v>
      </c>
      <c r="AD73" s="71" t="s">
        <v>154</v>
      </c>
      <c r="AE73" s="71" t="s">
        <v>327</v>
      </c>
      <c r="AF73" s="71"/>
      <c r="AG73" s="71">
        <v>6782998579</v>
      </c>
      <c r="AH73" s="71"/>
    </row>
    <row r="74" spans="1:34" x14ac:dyDescent="0.35">
      <c r="A74" s="71">
        <v>73</v>
      </c>
      <c r="B74" s="209" t="s">
        <v>330</v>
      </c>
      <c r="C74" s="113" t="s">
        <v>331</v>
      </c>
      <c r="D74" s="71" t="s">
        <v>36</v>
      </c>
      <c r="E74" s="71" t="s">
        <v>50</v>
      </c>
      <c r="F74" s="71" t="s">
        <v>55</v>
      </c>
      <c r="G74" s="71" t="s">
        <v>56</v>
      </c>
      <c r="H74" t="s">
        <v>52</v>
      </c>
      <c r="I74" s="94" t="s">
        <v>52</v>
      </c>
      <c r="J74" s="94" t="s">
        <v>68</v>
      </c>
      <c r="K74" s="95">
        <v>46038</v>
      </c>
      <c r="L74" s="71" t="s">
        <v>45</v>
      </c>
      <c r="M74" s="71" t="s">
        <v>40</v>
      </c>
      <c r="N74" s="71" t="s">
        <v>59</v>
      </c>
      <c r="O74" s="98" t="s">
        <v>145</v>
      </c>
      <c r="P74" s="210" t="s">
        <v>332</v>
      </c>
      <c r="Q74" s="71" t="s">
        <v>169</v>
      </c>
      <c r="R74" s="71" t="s">
        <v>83</v>
      </c>
      <c r="S74" s="71" t="s">
        <v>45</v>
      </c>
      <c r="T74" s="71" t="s">
        <v>45</v>
      </c>
      <c r="U74" s="71" t="s">
        <v>45</v>
      </c>
      <c r="V74" s="71" t="s">
        <v>45</v>
      </c>
      <c r="W74" s="71" t="s">
        <v>45</v>
      </c>
      <c r="X74" s="71" t="s">
        <v>45</v>
      </c>
      <c r="Y74" s="71" t="s">
        <v>45</v>
      </c>
      <c r="Z74" s="71" t="s">
        <v>45</v>
      </c>
      <c r="AA74" s="119" t="s">
        <v>63</v>
      </c>
      <c r="AB74" s="71" t="s">
        <v>45</v>
      </c>
      <c r="AC74" s="71" t="s">
        <v>45</v>
      </c>
      <c r="AD74" s="71" t="s">
        <v>62</v>
      </c>
      <c r="AE74" s="71" t="s">
        <v>333</v>
      </c>
      <c r="AF74" s="71"/>
      <c r="AG74" s="94">
        <v>6382412543</v>
      </c>
      <c r="AH74" s="71"/>
    </row>
    <row r="75" spans="1:34" x14ac:dyDescent="0.35">
      <c r="A75" s="71">
        <v>74</v>
      </c>
      <c r="B75" s="143" t="s">
        <v>334</v>
      </c>
      <c r="C75" s="206" t="s">
        <v>335</v>
      </c>
      <c r="D75" s="71" t="s">
        <v>36</v>
      </c>
      <c r="E75" s="93" t="s">
        <v>50</v>
      </c>
      <c r="F75" s="71" t="s">
        <v>55</v>
      </c>
      <c r="G75" s="71" t="s">
        <v>56</v>
      </c>
      <c r="H75" s="196" t="s">
        <v>52</v>
      </c>
      <c r="I75" s="94" t="s">
        <v>52</v>
      </c>
      <c r="J75" s="94" t="s">
        <v>68</v>
      </c>
      <c r="K75" s="95">
        <v>46036</v>
      </c>
      <c r="L75" s="71" t="s">
        <v>45</v>
      </c>
      <c r="M75" s="71" t="s">
        <v>228</v>
      </c>
      <c r="N75" s="71" t="s">
        <v>41</v>
      </c>
      <c r="O75" s="71" t="s">
        <v>267</v>
      </c>
      <c r="P75" s="71" t="s">
        <v>268</v>
      </c>
      <c r="Q75" s="71" t="s">
        <v>269</v>
      </c>
      <c r="R75" s="71" t="s">
        <v>246</v>
      </c>
      <c r="S75" s="71" t="s">
        <v>45</v>
      </c>
      <c r="T75" s="71" t="s">
        <v>127</v>
      </c>
      <c r="U75" s="71" t="s">
        <v>45</v>
      </c>
      <c r="V75" s="71" t="s">
        <v>45</v>
      </c>
      <c r="W75" s="71" t="s">
        <v>45</v>
      </c>
      <c r="X75" s="71" t="s">
        <v>45</v>
      </c>
      <c r="Y75" s="71" t="s">
        <v>45</v>
      </c>
      <c r="Z75" s="71" t="s">
        <v>45</v>
      </c>
      <c r="AA75" s="71"/>
      <c r="AB75" s="71" t="s">
        <v>45</v>
      </c>
      <c r="AC75" s="71" t="s">
        <v>45</v>
      </c>
      <c r="AD75" s="71" t="s">
        <v>154</v>
      </c>
      <c r="AE75" s="71"/>
      <c r="AF75" s="71"/>
      <c r="AG75">
        <v>9746540951</v>
      </c>
      <c r="AH75" s="71"/>
    </row>
    <row r="76" spans="1:34" x14ac:dyDescent="0.35">
      <c r="A76" s="71">
        <v>75</v>
      </c>
      <c r="B76" s="186" t="s">
        <v>336</v>
      </c>
      <c r="C76" s="101" t="s">
        <v>337</v>
      </c>
      <c r="D76" s="71" t="s">
        <v>36</v>
      </c>
      <c r="E76" s="211" t="s">
        <v>50</v>
      </c>
      <c r="F76" s="74" t="s">
        <v>55</v>
      </c>
      <c r="G76" s="74" t="s">
        <v>51</v>
      </c>
      <c r="H76" s="113" t="s">
        <v>68</v>
      </c>
      <c r="I76" s="113" t="s">
        <v>135</v>
      </c>
      <c r="J76" s="94" t="s">
        <v>68</v>
      </c>
      <c r="K76" s="95">
        <v>46044</v>
      </c>
      <c r="L76" s="71" t="s">
        <v>45</v>
      </c>
      <c r="M76" s="71" t="s">
        <v>338</v>
      </c>
      <c r="N76" s="71" t="s">
        <v>339</v>
      </c>
      <c r="O76" s="71" t="s">
        <v>340</v>
      </c>
      <c r="P76" s="71" t="s">
        <v>341</v>
      </c>
      <c r="Q76" s="71" t="s">
        <v>116</v>
      </c>
      <c r="R76" s="71" t="s">
        <v>83</v>
      </c>
      <c r="S76" s="71" t="s">
        <v>127</v>
      </c>
      <c r="T76" s="71" t="s">
        <v>127</v>
      </c>
      <c r="U76" s="71" t="s">
        <v>127</v>
      </c>
      <c r="V76" s="71" t="s">
        <v>45</v>
      </c>
      <c r="W76" s="71" t="s">
        <v>45</v>
      </c>
      <c r="X76" s="71" t="s">
        <v>63</v>
      </c>
      <c r="Y76" s="71" t="s">
        <v>63</v>
      </c>
      <c r="Z76" s="71" t="s">
        <v>45</v>
      </c>
      <c r="AA76" s="71"/>
      <c r="AB76" s="71" t="s">
        <v>127</v>
      </c>
      <c r="AC76" s="71" t="s">
        <v>127</v>
      </c>
      <c r="AD76" s="71" t="s">
        <v>154</v>
      </c>
      <c r="AE76" s="71"/>
      <c r="AF76" s="71"/>
      <c r="AG76" s="94">
        <v>8008070456</v>
      </c>
      <c r="AH76" s="71"/>
    </row>
    <row r="77" spans="1:34" x14ac:dyDescent="0.35">
      <c r="A77" s="71">
        <v>76</v>
      </c>
      <c r="B77" s="135" t="s">
        <v>342</v>
      </c>
      <c r="C77" s="212" t="s">
        <v>343</v>
      </c>
      <c r="D77" s="114" t="s">
        <v>36</v>
      </c>
      <c r="E77" s="64" t="s">
        <v>50</v>
      </c>
      <c r="F77" s="6" t="s">
        <v>55</v>
      </c>
      <c r="G77" s="6" t="s">
        <v>56</v>
      </c>
      <c r="H77" s="115" t="s">
        <v>158</v>
      </c>
      <c r="I77" s="115" t="s">
        <v>135</v>
      </c>
      <c r="J77" s="97" t="s">
        <v>158</v>
      </c>
      <c r="K77" s="213">
        <v>46364</v>
      </c>
      <c r="L77" s="71" t="s">
        <v>45</v>
      </c>
      <c r="M77" s="71" t="s">
        <v>344</v>
      </c>
      <c r="N77" s="6" t="s">
        <v>87</v>
      </c>
      <c r="O77" s="104" t="s">
        <v>88</v>
      </c>
      <c r="P77" s="6"/>
      <c r="Q77" s="214" t="s">
        <v>141</v>
      </c>
      <c r="R77" s="71" t="s">
        <v>83</v>
      </c>
      <c r="S77" s="71" t="s">
        <v>45</v>
      </c>
      <c r="T77" s="71" t="s">
        <v>150</v>
      </c>
      <c r="U77" s="71" t="s">
        <v>45</v>
      </c>
      <c r="V77" s="71" t="s">
        <v>45</v>
      </c>
      <c r="W77" s="71" t="s">
        <v>45</v>
      </c>
      <c r="X77" s="71"/>
      <c r="Y77" s="71"/>
      <c r="Z77" s="71"/>
      <c r="AA77" s="71"/>
      <c r="AB77" s="71" t="s">
        <v>45</v>
      </c>
      <c r="AC77" s="71" t="s">
        <v>45</v>
      </c>
      <c r="AD77" s="71" t="s">
        <v>62</v>
      </c>
      <c r="AE77" s="71"/>
      <c r="AF77" s="74"/>
      <c r="AG77" s="94">
        <v>9741853497</v>
      </c>
      <c r="AH77" s="71"/>
    </row>
    <row r="78" spans="1:34" x14ac:dyDescent="0.35">
      <c r="A78" s="87">
        <v>77</v>
      </c>
      <c r="B78" s="155" t="s">
        <v>345</v>
      </c>
      <c r="C78" s="87"/>
      <c r="D78" s="137" t="s">
        <v>36</v>
      </c>
      <c r="E78" s="152" t="s">
        <v>37</v>
      </c>
      <c r="F78" s="215" t="s">
        <v>55</v>
      </c>
      <c r="G78" s="152" t="s">
        <v>51</v>
      </c>
      <c r="H78" s="152" t="s">
        <v>68</v>
      </c>
      <c r="I78" s="154" t="s">
        <v>39</v>
      </c>
      <c r="J78" s="89" t="s">
        <v>57</v>
      </c>
      <c r="K78" s="180"/>
      <c r="L78" s="87" t="s">
        <v>127</v>
      </c>
      <c r="M78" s="87" t="s">
        <v>40</v>
      </c>
      <c r="N78" s="87" t="s">
        <v>41</v>
      </c>
      <c r="O78" s="87"/>
      <c r="P78" s="87"/>
      <c r="Q78" s="87"/>
      <c r="R78" s="87" t="s">
        <v>246</v>
      </c>
      <c r="S78" s="87" t="s">
        <v>127</v>
      </c>
      <c r="T78" s="87" t="s">
        <v>127</v>
      </c>
      <c r="U78" s="87" t="s">
        <v>127</v>
      </c>
      <c r="V78" s="87" t="s">
        <v>45</v>
      </c>
      <c r="W78" s="87"/>
      <c r="X78" s="87"/>
      <c r="Y78" s="87"/>
      <c r="Z78" s="87"/>
      <c r="AA78" s="87"/>
      <c r="AB78" s="87" t="s">
        <v>127</v>
      </c>
      <c r="AC78" s="87" t="s">
        <v>127</v>
      </c>
      <c r="AD78" s="87" t="s">
        <v>154</v>
      </c>
      <c r="AE78" s="137"/>
      <c r="AF78" s="123"/>
      <c r="AG78" s="216">
        <v>6293036694</v>
      </c>
      <c r="AH78" s="87"/>
    </row>
    <row r="79" spans="1:34" x14ac:dyDescent="0.35">
      <c r="A79" s="87">
        <v>78</v>
      </c>
      <c r="B79" s="155" t="s">
        <v>346</v>
      </c>
      <c r="C79" s="88" t="s">
        <v>347</v>
      </c>
      <c r="D79" s="137" t="s">
        <v>36</v>
      </c>
      <c r="E79" s="182" t="s">
        <v>37</v>
      </c>
      <c r="F79" s="123" t="s">
        <v>55</v>
      </c>
      <c r="G79" s="123" t="s">
        <v>197</v>
      </c>
      <c r="H79" s="123" t="s">
        <v>52</v>
      </c>
      <c r="I79" s="123" t="s">
        <v>52</v>
      </c>
      <c r="J79" s="202" t="s">
        <v>68</v>
      </c>
      <c r="K79" s="217">
        <v>46086</v>
      </c>
      <c r="L79" s="87" t="s">
        <v>45</v>
      </c>
      <c r="M79" s="87" t="s">
        <v>40</v>
      </c>
      <c r="N79" s="87" t="s">
        <v>59</v>
      </c>
      <c r="O79" s="87" t="s">
        <v>69</v>
      </c>
      <c r="P79" s="87"/>
      <c r="Q79" s="87" t="s">
        <v>235</v>
      </c>
      <c r="R79" s="87" t="s">
        <v>246</v>
      </c>
      <c r="S79" s="87" t="s">
        <v>45</v>
      </c>
      <c r="T79" s="87" t="s">
        <v>127</v>
      </c>
      <c r="U79" s="87" t="s">
        <v>127</v>
      </c>
      <c r="V79" s="87" t="s">
        <v>45</v>
      </c>
      <c r="W79" s="87" t="s">
        <v>45</v>
      </c>
      <c r="X79" s="87" t="s">
        <v>45</v>
      </c>
      <c r="Y79" s="87" t="s">
        <v>45</v>
      </c>
      <c r="Z79" s="87" t="s">
        <v>45</v>
      </c>
      <c r="AA79" s="87" t="s">
        <v>63</v>
      </c>
      <c r="AB79" s="87" t="s">
        <v>45</v>
      </c>
      <c r="AC79" s="87" t="s">
        <v>45</v>
      </c>
      <c r="AD79" s="87" t="s">
        <v>64</v>
      </c>
      <c r="AE79" s="107" t="s">
        <v>301</v>
      </c>
      <c r="AF79" s="91">
        <v>46226</v>
      </c>
      <c r="AG79" s="110">
        <v>7757937007</v>
      </c>
      <c r="AH79" s="87"/>
    </row>
    <row r="80" spans="1:34" x14ac:dyDescent="0.35">
      <c r="A80" s="71">
        <v>79</v>
      </c>
      <c r="B80" s="143" t="s">
        <v>348</v>
      </c>
      <c r="C80" s="101" t="s">
        <v>349</v>
      </c>
      <c r="D80" s="114" t="s">
        <v>36</v>
      </c>
      <c r="E80" s="64" t="s">
        <v>50</v>
      </c>
      <c r="F80" s="6" t="s">
        <v>55</v>
      </c>
      <c r="G80" s="6" t="s">
        <v>51</v>
      </c>
      <c r="H80" s="6" t="s">
        <v>52</v>
      </c>
      <c r="I80" s="115" t="s">
        <v>135</v>
      </c>
      <c r="J80" s="97" t="s">
        <v>68</v>
      </c>
      <c r="K80" s="218">
        <v>46058</v>
      </c>
      <c r="L80" s="71" t="s">
        <v>45</v>
      </c>
      <c r="M80" s="71" t="s">
        <v>312</v>
      </c>
      <c r="N80" s="6" t="s">
        <v>87</v>
      </c>
      <c r="O80" s="104" t="s">
        <v>88</v>
      </c>
      <c r="P80" s="6"/>
      <c r="Q80" s="219" t="s">
        <v>313</v>
      </c>
      <c r="R80" s="71" t="s">
        <v>246</v>
      </c>
      <c r="S80" s="71" t="s">
        <v>127</v>
      </c>
      <c r="T80" s="71" t="s">
        <v>127</v>
      </c>
      <c r="U80" s="71" t="s">
        <v>45</v>
      </c>
      <c r="V80" s="71" t="s">
        <v>45</v>
      </c>
      <c r="W80" s="71" t="s">
        <v>45</v>
      </c>
      <c r="X80" s="71" t="s">
        <v>45</v>
      </c>
      <c r="Y80" s="71" t="s">
        <v>45</v>
      </c>
      <c r="Z80" s="71" t="s">
        <v>45</v>
      </c>
      <c r="AA80" s="71"/>
      <c r="AB80" s="71" t="s">
        <v>45</v>
      </c>
      <c r="AC80" s="71" t="s">
        <v>45</v>
      </c>
      <c r="AD80" s="71" t="s">
        <v>154</v>
      </c>
      <c r="AE80" s="100" t="s">
        <v>301</v>
      </c>
      <c r="AF80" s="71"/>
      <c r="AG80" s="94">
        <v>8639786879</v>
      </c>
      <c r="AH80" s="71"/>
    </row>
    <row r="81" spans="1:34" x14ac:dyDescent="0.35">
      <c r="A81" s="71">
        <v>80</v>
      </c>
      <c r="B81" s="92" t="s">
        <v>350</v>
      </c>
      <c r="C81" s="212" t="s">
        <v>351</v>
      </c>
      <c r="D81" s="114" t="s">
        <v>36</v>
      </c>
      <c r="E81" s="6" t="s">
        <v>50</v>
      </c>
      <c r="F81" s="6" t="s">
        <v>55</v>
      </c>
      <c r="G81" s="6" t="s">
        <v>106</v>
      </c>
      <c r="H81" s="6" t="s">
        <v>39</v>
      </c>
      <c r="I81" s="6" t="s">
        <v>39</v>
      </c>
      <c r="J81" s="220" t="s">
        <v>57</v>
      </c>
      <c r="K81" s="218">
        <v>46044</v>
      </c>
      <c r="L81" s="71" t="s">
        <v>45</v>
      </c>
      <c r="M81" s="144" t="s">
        <v>198</v>
      </c>
      <c r="N81" s="71" t="s">
        <v>59</v>
      </c>
      <c r="O81" s="71" t="s">
        <v>69</v>
      </c>
      <c r="P81" s="100" t="s">
        <v>352</v>
      </c>
      <c r="Q81" s="71" t="s">
        <v>235</v>
      </c>
      <c r="R81" s="71" t="s">
        <v>61</v>
      </c>
      <c r="S81" s="71" t="s">
        <v>45</v>
      </c>
      <c r="T81" s="71" t="s">
        <v>45</v>
      </c>
      <c r="U81" s="71" t="s">
        <v>45</v>
      </c>
      <c r="V81" s="71" t="s">
        <v>45</v>
      </c>
      <c r="W81" s="71" t="s">
        <v>45</v>
      </c>
      <c r="X81" s="71" t="s">
        <v>45</v>
      </c>
      <c r="Y81" s="71" t="s">
        <v>45</v>
      </c>
      <c r="Z81" s="71" t="s">
        <v>45</v>
      </c>
      <c r="AA81" s="119" t="s">
        <v>63</v>
      </c>
      <c r="AB81" s="71" t="s">
        <v>45</v>
      </c>
      <c r="AC81" s="71" t="s">
        <v>45</v>
      </c>
      <c r="AD81" s="71" t="s">
        <v>64</v>
      </c>
      <c r="AE81" s="100"/>
      <c r="AF81" s="71"/>
      <c r="AG81" s="71">
        <v>9501680557</v>
      </c>
      <c r="AH81" s="71"/>
    </row>
    <row r="82" spans="1:34" x14ac:dyDescent="0.35">
      <c r="A82" s="71">
        <v>81</v>
      </c>
      <c r="B82" s="92" t="s">
        <v>353</v>
      </c>
      <c r="C82" s="101" t="s">
        <v>354</v>
      </c>
      <c r="D82" s="114" t="s">
        <v>36</v>
      </c>
      <c r="E82" s="64" t="s">
        <v>50</v>
      </c>
      <c r="F82" s="6" t="s">
        <v>55</v>
      </c>
      <c r="G82" s="6" t="s">
        <v>101</v>
      </c>
      <c r="H82" s="6" t="s">
        <v>52</v>
      </c>
      <c r="I82" s="6" t="s">
        <v>52</v>
      </c>
      <c r="J82" s="220" t="s">
        <v>68</v>
      </c>
      <c r="K82" s="185">
        <v>46045</v>
      </c>
      <c r="L82" s="71" t="s">
        <v>45</v>
      </c>
      <c r="M82" s="71" t="s">
        <v>198</v>
      </c>
      <c r="N82" s="71" t="s">
        <v>41</v>
      </c>
      <c r="O82" s="71" t="s">
        <v>199</v>
      </c>
      <c r="P82" s="71" t="s">
        <v>200</v>
      </c>
      <c r="Q82" s="71" t="s">
        <v>201</v>
      </c>
      <c r="R82" s="71" t="s">
        <v>61</v>
      </c>
      <c r="S82" s="71" t="s">
        <v>45</v>
      </c>
      <c r="T82" s="71" t="s">
        <v>45</v>
      </c>
      <c r="U82" s="71" t="s">
        <v>45</v>
      </c>
      <c r="V82" s="71" t="s">
        <v>45</v>
      </c>
      <c r="W82" s="71" t="s">
        <v>45</v>
      </c>
      <c r="X82" s="71" t="s">
        <v>45</v>
      </c>
      <c r="Y82" s="71" t="s">
        <v>45</v>
      </c>
      <c r="Z82" s="71" t="s">
        <v>45</v>
      </c>
      <c r="AA82" s="71"/>
      <c r="AB82" s="71" t="s">
        <v>45</v>
      </c>
      <c r="AC82" s="71" t="s">
        <v>45</v>
      </c>
      <c r="AD82" s="71" t="s">
        <v>154</v>
      </c>
      <c r="AE82" s="71"/>
      <c r="AF82" s="71"/>
      <c r="AG82" s="221">
        <v>8655714866</v>
      </c>
      <c r="AH82" s="71"/>
    </row>
    <row r="83" spans="1:34" x14ac:dyDescent="0.35">
      <c r="A83" s="71">
        <v>82</v>
      </c>
      <c r="B83" s="92" t="s">
        <v>355</v>
      </c>
      <c r="C83" s="206" t="s">
        <v>356</v>
      </c>
      <c r="D83" s="114" t="s">
        <v>36</v>
      </c>
      <c r="E83" s="64" t="s">
        <v>50</v>
      </c>
      <c r="F83" s="6" t="s">
        <v>55</v>
      </c>
      <c r="G83" s="6" t="s">
        <v>56</v>
      </c>
      <c r="H83" s="6" t="s">
        <v>357</v>
      </c>
      <c r="I83" s="6" t="s">
        <v>357</v>
      </c>
      <c r="J83" t="s">
        <v>68</v>
      </c>
      <c r="K83" s="218">
        <v>46097</v>
      </c>
      <c r="L83" s="71" t="s">
        <v>45</v>
      </c>
      <c r="M83" s="71" t="s">
        <v>198</v>
      </c>
      <c r="N83" s="71" t="s">
        <v>59</v>
      </c>
      <c r="O83" s="71" t="s">
        <v>358</v>
      </c>
      <c r="P83" s="71" t="s">
        <v>359</v>
      </c>
      <c r="Q83" s="71" t="s">
        <v>169</v>
      </c>
      <c r="R83" s="71"/>
      <c r="S83" s="71" t="s">
        <v>45</v>
      </c>
      <c r="T83" s="71" t="s">
        <v>45</v>
      </c>
      <c r="U83" s="71" t="s">
        <v>45</v>
      </c>
      <c r="V83" s="71" t="s">
        <v>63</v>
      </c>
      <c r="W83" s="71" t="s">
        <v>45</v>
      </c>
      <c r="X83" s="71" t="s">
        <v>45</v>
      </c>
      <c r="Y83" s="71" t="s">
        <v>45</v>
      </c>
      <c r="Z83" s="71" t="s">
        <v>45</v>
      </c>
      <c r="AA83" s="119" t="s">
        <v>63</v>
      </c>
      <c r="AB83" s="71" t="s">
        <v>45</v>
      </c>
      <c r="AC83" s="71" t="s">
        <v>45</v>
      </c>
      <c r="AD83" s="71" t="s">
        <v>63</v>
      </c>
      <c r="AE83" s="71"/>
      <c r="AF83" s="71"/>
      <c r="AG83" s="221">
        <v>9165951410</v>
      </c>
      <c r="AH83" s="71"/>
    </row>
    <row r="84" spans="1:34" x14ac:dyDescent="0.35">
      <c r="A84" s="222">
        <v>83</v>
      </c>
      <c r="B84" s="71" t="s">
        <v>360</v>
      </c>
      <c r="C84" s="223" t="s">
        <v>361</v>
      </c>
      <c r="D84" s="224" t="s">
        <v>36</v>
      </c>
      <c r="E84" s="64" t="s">
        <v>50</v>
      </c>
      <c r="F84" s="64" t="s">
        <v>362</v>
      </c>
      <c r="G84" s="6" t="s">
        <v>56</v>
      </c>
      <c r="H84" s="115" t="s">
        <v>39</v>
      </c>
      <c r="I84" s="115" t="s">
        <v>39</v>
      </c>
      <c r="J84" s="225" t="s">
        <v>68</v>
      </c>
      <c r="K84" s="226">
        <v>46108</v>
      </c>
      <c r="L84" s="225" t="s">
        <v>45</v>
      </c>
      <c r="M84" s="71" t="s">
        <v>110</v>
      </c>
      <c r="N84" s="225" t="s">
        <v>59</v>
      </c>
      <c r="O84" s="98" t="s">
        <v>255</v>
      </c>
      <c r="P84" s="225" t="s">
        <v>363</v>
      </c>
      <c r="Q84" s="227" t="s">
        <v>256</v>
      </c>
      <c r="R84" s="225" t="s">
        <v>61</v>
      </c>
      <c r="S84" s="71" t="s">
        <v>45</v>
      </c>
      <c r="T84" s="71" t="s">
        <v>45</v>
      </c>
      <c r="U84" s="71" t="s">
        <v>45</v>
      </c>
      <c r="V84" s="225" t="s">
        <v>45</v>
      </c>
      <c r="W84" s="225" t="s">
        <v>45</v>
      </c>
      <c r="X84" s="225" t="s">
        <v>45</v>
      </c>
      <c r="Y84" s="225" t="s">
        <v>45</v>
      </c>
      <c r="Z84" s="225" t="s">
        <v>45</v>
      </c>
      <c r="AA84" s="119" t="s">
        <v>63</v>
      </c>
      <c r="AB84" s="225"/>
      <c r="AC84" s="225" t="s">
        <v>45</v>
      </c>
      <c r="AD84" s="225"/>
      <c r="AE84" s="225" t="s">
        <v>363</v>
      </c>
      <c r="AF84" s="225"/>
      <c r="AG84" s="228">
        <v>7702634856</v>
      </c>
      <c r="AH84" s="229" t="s">
        <v>360</v>
      </c>
    </row>
    <row r="85" spans="1:34" x14ac:dyDescent="0.35">
      <c r="A85" s="230">
        <v>84</v>
      </c>
      <c r="B85" s="231" t="s">
        <v>364</v>
      </c>
      <c r="C85" s="232" t="s">
        <v>365</v>
      </c>
      <c r="D85" s="233" t="s">
        <v>36</v>
      </c>
      <c r="E85" s="64" t="s">
        <v>50</v>
      </c>
      <c r="F85" s="24" t="s">
        <v>362</v>
      </c>
      <c r="G85" s="24" t="s">
        <v>51</v>
      </c>
      <c r="H85" s="115" t="s">
        <v>39</v>
      </c>
      <c r="I85" s="115" t="s">
        <v>39</v>
      </c>
      <c r="J85" s="147" t="s">
        <v>68</v>
      </c>
      <c r="K85" s="234">
        <v>46132</v>
      </c>
      <c r="L85" s="147" t="s">
        <v>45</v>
      </c>
      <c r="M85" s="71" t="s">
        <v>198</v>
      </c>
      <c r="N85" s="147" t="s">
        <v>59</v>
      </c>
      <c r="O85" s="147" t="s">
        <v>145</v>
      </c>
      <c r="P85" s="147" t="s">
        <v>366</v>
      </c>
      <c r="Q85" s="235" t="s">
        <v>126</v>
      </c>
      <c r="R85" s="147" t="s">
        <v>61</v>
      </c>
      <c r="S85" s="147" t="s">
        <v>45</v>
      </c>
      <c r="T85" s="147" t="s">
        <v>45</v>
      </c>
      <c r="U85" s="147" t="s">
        <v>45</v>
      </c>
      <c r="V85" s="147" t="s">
        <v>45</v>
      </c>
      <c r="W85" s="147" t="s">
        <v>45</v>
      </c>
      <c r="X85" s="147" t="s">
        <v>45</v>
      </c>
      <c r="Y85" s="147" t="s">
        <v>45</v>
      </c>
      <c r="Z85" s="147" t="s">
        <v>45</v>
      </c>
      <c r="AA85" s="119" t="s">
        <v>63</v>
      </c>
      <c r="AB85" s="147" t="s">
        <v>45</v>
      </c>
      <c r="AC85" s="147" t="s">
        <v>45</v>
      </c>
      <c r="AD85" s="147" t="s">
        <v>45</v>
      </c>
      <c r="AE85" s="236" t="s">
        <v>363</v>
      </c>
      <c r="AF85" s="147"/>
      <c r="AG85" s="221" t="s">
        <v>367</v>
      </c>
      <c r="AH85" s="237" t="s">
        <v>364</v>
      </c>
    </row>
    <row r="86" spans="1:34" x14ac:dyDescent="0.35">
      <c r="A86" s="230">
        <v>85</v>
      </c>
      <c r="B86" s="237" t="s">
        <v>368</v>
      </c>
      <c r="C86" s="238" t="s">
        <v>369</v>
      </c>
      <c r="D86" s="233" t="s">
        <v>36</v>
      </c>
      <c r="E86" s="64" t="s">
        <v>50</v>
      </c>
      <c r="F86" s="24" t="s">
        <v>362</v>
      </c>
      <c r="G86" s="6" t="s">
        <v>56</v>
      </c>
      <c r="H86" s="24" t="s">
        <v>52</v>
      </c>
      <c r="I86" s="24" t="s">
        <v>149</v>
      </c>
      <c r="J86" s="147" t="s">
        <v>68</v>
      </c>
      <c r="K86" s="218">
        <v>46140</v>
      </c>
      <c r="L86" s="147" t="s">
        <v>45</v>
      </c>
      <c r="M86" s="94" t="s">
        <v>198</v>
      </c>
      <c r="N86" s="147" t="s">
        <v>41</v>
      </c>
      <c r="O86" s="147" t="s">
        <v>42</v>
      </c>
      <c r="P86" s="147" t="s">
        <v>306</v>
      </c>
      <c r="Q86" s="147" t="s">
        <v>307</v>
      </c>
      <c r="R86" s="147" t="s">
        <v>246</v>
      </c>
      <c r="S86" s="147" t="s">
        <v>45</v>
      </c>
      <c r="T86" s="147" t="s">
        <v>127</v>
      </c>
      <c r="U86" s="147" t="s">
        <v>45</v>
      </c>
      <c r="V86" s="147" t="s">
        <v>45</v>
      </c>
      <c r="W86" s="147" t="s">
        <v>45</v>
      </c>
      <c r="X86" s="147" t="s">
        <v>45</v>
      </c>
      <c r="Y86" s="147" t="s">
        <v>45</v>
      </c>
      <c r="Z86" s="147" t="s">
        <v>45</v>
      </c>
      <c r="AA86" s="147" t="s">
        <v>63</v>
      </c>
      <c r="AB86" s="147" t="s">
        <v>45</v>
      </c>
      <c r="AC86" s="147" t="s">
        <v>45</v>
      </c>
      <c r="AD86" s="147" t="s">
        <v>63</v>
      </c>
      <c r="AE86" s="225" t="s">
        <v>370</v>
      </c>
      <c r="AF86" s="148">
        <v>46244</v>
      </c>
      <c r="AG86" s="239" t="s">
        <v>371</v>
      </c>
      <c r="AH86" s="237" t="s">
        <v>368</v>
      </c>
    </row>
    <row r="87" spans="1:34" x14ac:dyDescent="0.35">
      <c r="A87" s="230">
        <v>86</v>
      </c>
      <c r="B87" s="147" t="s">
        <v>372</v>
      </c>
      <c r="C87" s="240" t="s">
        <v>373</v>
      </c>
      <c r="D87" s="233" t="s">
        <v>36</v>
      </c>
      <c r="E87" s="64" t="s">
        <v>50</v>
      </c>
      <c r="F87" s="64" t="s">
        <v>362</v>
      </c>
      <c r="G87" s="6" t="s">
        <v>101</v>
      </c>
      <c r="H87" s="115" t="s">
        <v>39</v>
      </c>
      <c r="I87" s="115" t="s">
        <v>122</v>
      </c>
      <c r="J87" s="147" t="s">
        <v>68</v>
      </c>
      <c r="K87" s="218">
        <v>46113</v>
      </c>
      <c r="L87" s="147" t="s">
        <v>45</v>
      </c>
      <c r="M87" s="147" t="s">
        <v>374</v>
      </c>
      <c r="N87" s="147" t="s">
        <v>124</v>
      </c>
      <c r="O87" s="147" t="s">
        <v>375</v>
      </c>
      <c r="P87" s="147"/>
      <c r="Q87" s="147"/>
      <c r="R87" s="147" t="s">
        <v>61</v>
      </c>
      <c r="S87" s="147" t="s">
        <v>45</v>
      </c>
      <c r="T87" s="147" t="s">
        <v>45</v>
      </c>
      <c r="U87" s="147" t="s">
        <v>127</v>
      </c>
      <c r="V87" s="147" t="s">
        <v>63</v>
      </c>
      <c r="W87" s="147" t="s">
        <v>63</v>
      </c>
      <c r="X87" s="147" t="s">
        <v>45</v>
      </c>
      <c r="Y87" s="147" t="s">
        <v>127</v>
      </c>
      <c r="Z87" s="147" t="s">
        <v>63</v>
      </c>
      <c r="AA87" s="147" t="s">
        <v>63</v>
      </c>
      <c r="AB87" s="147" t="s">
        <v>45</v>
      </c>
      <c r="AC87" s="147" t="s">
        <v>45</v>
      </c>
      <c r="AD87" s="147" t="s">
        <v>63</v>
      </c>
      <c r="AE87" s="147" t="s">
        <v>376</v>
      </c>
      <c r="AF87" s="148">
        <v>46248</v>
      </c>
      <c r="AG87" s="241">
        <v>9870455079</v>
      </c>
      <c r="AH87" s="147" t="s">
        <v>372</v>
      </c>
    </row>
    <row r="88" spans="1:34" x14ac:dyDescent="0.35">
      <c r="A88" s="230">
        <v>87</v>
      </c>
      <c r="B88" s="242" t="s">
        <v>377</v>
      </c>
      <c r="C88" s="240" t="s">
        <v>378</v>
      </c>
      <c r="D88" s="233" t="s">
        <v>36</v>
      </c>
      <c r="E88" s="64" t="s">
        <v>50</v>
      </c>
      <c r="F88" s="24" t="s">
        <v>362</v>
      </c>
      <c r="G88" s="6" t="s">
        <v>56</v>
      </c>
      <c r="H88" s="115" t="s">
        <v>157</v>
      </c>
      <c r="I88" s="115" t="s">
        <v>157</v>
      </c>
      <c r="J88" s="147" t="s">
        <v>158</v>
      </c>
      <c r="K88" s="218">
        <v>46069</v>
      </c>
      <c r="L88" s="147" t="s">
        <v>45</v>
      </c>
      <c r="M88" s="147" t="s">
        <v>379</v>
      </c>
      <c r="N88" s="243" t="s">
        <v>380</v>
      </c>
      <c r="O88" s="147" t="s">
        <v>381</v>
      </c>
      <c r="P88" s="147" t="s">
        <v>363</v>
      </c>
      <c r="Q88" s="147" t="s">
        <v>382</v>
      </c>
      <c r="R88" s="147"/>
      <c r="S88" s="147" t="s">
        <v>363</v>
      </c>
      <c r="T88" s="147" t="s">
        <v>363</v>
      </c>
      <c r="U88" s="147" t="s">
        <v>45</v>
      </c>
      <c r="V88" s="147" t="s">
        <v>127</v>
      </c>
      <c r="W88" s="147" t="s">
        <v>45</v>
      </c>
      <c r="X88" s="147"/>
      <c r="Y88" s="147"/>
      <c r="Z88" s="147"/>
      <c r="AA88" s="147"/>
      <c r="AB88" s="147" t="s">
        <v>45</v>
      </c>
      <c r="AC88" s="147" t="s">
        <v>45</v>
      </c>
      <c r="AD88" s="147" t="s">
        <v>45</v>
      </c>
      <c r="AE88" s="147" t="s">
        <v>363</v>
      </c>
      <c r="AF88" s="147"/>
      <c r="AG88" s="241">
        <v>7356287278</v>
      </c>
      <c r="AH88" s="147" t="s">
        <v>377</v>
      </c>
    </row>
    <row r="89" spans="1:34" x14ac:dyDescent="0.35">
      <c r="A89" s="128">
        <v>88</v>
      </c>
      <c r="B89" s="244" t="s">
        <v>383</v>
      </c>
      <c r="C89" s="245" t="s">
        <v>384</v>
      </c>
      <c r="D89" s="246" t="s">
        <v>36</v>
      </c>
      <c r="E89" s="6" t="s">
        <v>50</v>
      </c>
      <c r="F89" s="64" t="s">
        <v>362</v>
      </c>
      <c r="G89" s="64" t="s">
        <v>38</v>
      </c>
      <c r="H89" s="64" t="s">
        <v>52</v>
      </c>
      <c r="I89" s="64" t="s">
        <v>52</v>
      </c>
      <c r="J89" s="247" t="s">
        <v>68</v>
      </c>
      <c r="K89" s="218">
        <v>46139</v>
      </c>
      <c r="L89" s="247" t="s">
        <v>45</v>
      </c>
      <c r="M89" s="247" t="s">
        <v>385</v>
      </c>
      <c r="N89" s="6" t="s">
        <v>87</v>
      </c>
      <c r="O89" s="104" t="s">
        <v>88</v>
      </c>
      <c r="P89" s="247" t="s">
        <v>363</v>
      </c>
      <c r="Q89" s="247" t="s">
        <v>386</v>
      </c>
      <c r="R89" s="247" t="s">
        <v>61</v>
      </c>
      <c r="S89" s="247" t="s">
        <v>45</v>
      </c>
      <c r="T89" s="247" t="s">
        <v>45</v>
      </c>
      <c r="U89" s="247" t="s">
        <v>387</v>
      </c>
      <c r="V89" s="247" t="s">
        <v>45</v>
      </c>
      <c r="W89" s="247" t="s">
        <v>45</v>
      </c>
      <c r="X89" s="247"/>
      <c r="Y89" s="247" t="s">
        <v>45</v>
      </c>
      <c r="Z89" s="247" t="s">
        <v>45</v>
      </c>
      <c r="AA89" s="247" t="s">
        <v>45</v>
      </c>
      <c r="AB89" s="247" t="s">
        <v>45</v>
      </c>
      <c r="AC89" s="247" t="s">
        <v>127</v>
      </c>
      <c r="AD89" s="247" t="s">
        <v>388</v>
      </c>
      <c r="AE89" s="247" t="s">
        <v>363</v>
      </c>
      <c r="AF89" s="248"/>
      <c r="AG89" s="241">
        <v>9677836591</v>
      </c>
      <c r="AH89" s="247" t="s">
        <v>383</v>
      </c>
    </row>
    <row r="90" spans="1:34" x14ac:dyDescent="0.35">
      <c r="A90" s="252">
        <v>89</v>
      </c>
      <c r="B90" s="93" t="s">
        <v>389</v>
      </c>
      <c r="C90" s="253" t="s">
        <v>390</v>
      </c>
      <c r="D90" s="246" t="s">
        <v>36</v>
      </c>
      <c r="E90" s="64" t="s">
        <v>50</v>
      </c>
      <c r="F90" s="64" t="s">
        <v>362</v>
      </c>
      <c r="G90" s="64" t="s">
        <v>51</v>
      </c>
      <c r="H90" s="64" t="s">
        <v>391</v>
      </c>
      <c r="I90" s="64" t="s">
        <v>391</v>
      </c>
      <c r="J90" s="93" t="s">
        <v>68</v>
      </c>
      <c r="K90" s="218">
        <v>46157</v>
      </c>
      <c r="L90" s="93" t="s">
        <v>45</v>
      </c>
      <c r="M90" s="93" t="s">
        <v>392</v>
      </c>
      <c r="N90" s="94" t="s">
        <v>59</v>
      </c>
      <c r="O90" s="9" t="s">
        <v>60</v>
      </c>
      <c r="P90" s="93" t="s">
        <v>363</v>
      </c>
      <c r="Q90" s="93" t="s">
        <v>393</v>
      </c>
      <c r="R90" s="93" t="s">
        <v>394</v>
      </c>
      <c r="S90" s="93" t="s">
        <v>387</v>
      </c>
      <c r="T90" s="93" t="s">
        <v>387</v>
      </c>
      <c r="U90" s="93" t="s">
        <v>395</v>
      </c>
      <c r="V90" s="93" t="s">
        <v>395</v>
      </c>
      <c r="W90" s="93" t="s">
        <v>387</v>
      </c>
      <c r="X90" s="93" t="s">
        <v>45</v>
      </c>
      <c r="Y90" s="93" t="s">
        <v>45</v>
      </c>
      <c r="Z90" s="93" t="s">
        <v>45</v>
      </c>
      <c r="AA90" s="71" t="s">
        <v>63</v>
      </c>
      <c r="AB90" s="93" t="s">
        <v>363</v>
      </c>
      <c r="AC90" s="93" t="s">
        <v>387</v>
      </c>
      <c r="AD90" s="93" t="s">
        <v>127</v>
      </c>
      <c r="AE90" s="93" t="s">
        <v>363</v>
      </c>
      <c r="AF90" s="93"/>
      <c r="AG90" s="228" t="s">
        <v>396</v>
      </c>
      <c r="AH90" s="93" t="s">
        <v>389</v>
      </c>
    </row>
    <row r="91" spans="1:34" x14ac:dyDescent="0.35">
      <c r="A91" s="252">
        <v>90</v>
      </c>
      <c r="B91" s="93" t="s">
        <v>397</v>
      </c>
      <c r="C91" s="253" t="s">
        <v>398</v>
      </c>
      <c r="D91" s="246" t="s">
        <v>36</v>
      </c>
      <c r="E91" s="64" t="s">
        <v>50</v>
      </c>
      <c r="F91" s="64" t="s">
        <v>362</v>
      </c>
      <c r="G91" s="64" t="s">
        <v>51</v>
      </c>
      <c r="H91" s="64" t="s">
        <v>39</v>
      </c>
      <c r="I91" s="64" t="s">
        <v>39</v>
      </c>
      <c r="J91" s="93" t="s">
        <v>68</v>
      </c>
      <c r="K91" s="255">
        <v>46160</v>
      </c>
      <c r="L91" s="93" t="s">
        <v>45</v>
      </c>
      <c r="M91" s="93" t="s">
        <v>392</v>
      </c>
      <c r="N91" s="94" t="s">
        <v>59</v>
      </c>
      <c r="O91" s="9" t="s">
        <v>60</v>
      </c>
      <c r="P91" s="93" t="s">
        <v>363</v>
      </c>
      <c r="Q91" s="93" t="s">
        <v>399</v>
      </c>
      <c r="R91" s="93" t="s">
        <v>83</v>
      </c>
      <c r="S91" s="93" t="s">
        <v>45</v>
      </c>
      <c r="T91" s="93" t="s">
        <v>400</v>
      </c>
      <c r="U91" s="93" t="s">
        <v>363</v>
      </c>
      <c r="V91" s="93" t="s">
        <v>363</v>
      </c>
      <c r="W91" s="93" t="s">
        <v>363</v>
      </c>
      <c r="X91" s="93" t="s">
        <v>45</v>
      </c>
      <c r="Y91" s="93" t="s">
        <v>45</v>
      </c>
      <c r="Z91" s="93" t="s">
        <v>45</v>
      </c>
      <c r="AA91" s="71" t="s">
        <v>63</v>
      </c>
      <c r="AB91" s="93" t="s">
        <v>363</v>
      </c>
      <c r="AC91" s="93" t="s">
        <v>127</v>
      </c>
      <c r="AD91" s="93" t="s">
        <v>363</v>
      </c>
      <c r="AE91" s="93" t="s">
        <v>363</v>
      </c>
      <c r="AF91" s="93"/>
      <c r="AG91" s="241">
        <v>9003289704</v>
      </c>
      <c r="AH91" s="93" t="s">
        <v>397</v>
      </c>
    </row>
    <row r="92" spans="1:34" x14ac:dyDescent="0.35">
      <c r="A92" s="252">
        <v>91</v>
      </c>
      <c r="B92" s="94" t="s">
        <v>401</v>
      </c>
      <c r="C92" s="101" t="s">
        <v>402</v>
      </c>
      <c r="D92" s="246" t="s">
        <v>36</v>
      </c>
      <c r="E92" s="6" t="s">
        <v>50</v>
      </c>
      <c r="F92" s="64" t="s">
        <v>362</v>
      </c>
      <c r="G92" s="115" t="s">
        <v>56</v>
      </c>
      <c r="H92" s="6" t="s">
        <v>135</v>
      </c>
      <c r="I92" s="115" t="s">
        <v>135</v>
      </c>
      <c r="J92" s="220" t="s">
        <v>68</v>
      </c>
      <c r="K92" s="185">
        <v>46163</v>
      </c>
      <c r="L92" s="93" t="s">
        <v>45</v>
      </c>
      <c r="M92" s="71" t="s">
        <v>392</v>
      </c>
      <c r="N92" s="94" t="s">
        <v>59</v>
      </c>
      <c r="O92" s="9" t="s">
        <v>60</v>
      </c>
      <c r="P92" s="71"/>
      <c r="Q92" s="71" t="s">
        <v>403</v>
      </c>
      <c r="R92" s="71"/>
      <c r="S92" s="71" t="s">
        <v>45</v>
      </c>
      <c r="T92" s="71" t="s">
        <v>45</v>
      </c>
      <c r="U92" s="71" t="s">
        <v>45</v>
      </c>
      <c r="V92" s="71"/>
      <c r="W92" s="71"/>
      <c r="X92" s="71" t="s">
        <v>45</v>
      </c>
      <c r="Y92" s="71" t="s">
        <v>45</v>
      </c>
      <c r="Z92" s="71" t="s">
        <v>45</v>
      </c>
      <c r="AA92" s="71" t="s">
        <v>63</v>
      </c>
      <c r="AB92" s="71" t="s">
        <v>45</v>
      </c>
      <c r="AC92" s="71"/>
      <c r="AD92" s="71"/>
      <c r="AE92" s="71"/>
      <c r="AF92" s="71"/>
      <c r="AG92" s="241">
        <v>9346828104</v>
      </c>
      <c r="AH92" s="94" t="s">
        <v>401</v>
      </c>
    </row>
    <row r="93" spans="1:34" x14ac:dyDescent="0.35">
      <c r="A93" s="252">
        <v>92</v>
      </c>
      <c r="B93" s="94" t="s">
        <v>404</v>
      </c>
      <c r="C93" s="256" t="s">
        <v>405</v>
      </c>
      <c r="D93" s="246" t="s">
        <v>36</v>
      </c>
      <c r="E93" s="6" t="s">
        <v>50</v>
      </c>
      <c r="F93" s="64" t="s">
        <v>362</v>
      </c>
      <c r="G93" s="115" t="s">
        <v>56</v>
      </c>
      <c r="H93" s="115" t="s">
        <v>166</v>
      </c>
      <c r="I93" s="115" t="s">
        <v>406</v>
      </c>
      <c r="J93" s="220" t="s">
        <v>68</v>
      </c>
      <c r="K93" s="218">
        <v>46209</v>
      </c>
      <c r="L93" s="93" t="s">
        <v>45</v>
      </c>
      <c r="M93" s="94" t="s">
        <v>392</v>
      </c>
      <c r="N93" s="94" t="s">
        <v>59</v>
      </c>
      <c r="O93" s="9" t="s">
        <v>60</v>
      </c>
      <c r="P93" s="71"/>
      <c r="Q93" s="94" t="s">
        <v>407</v>
      </c>
      <c r="R93" s="71" t="s">
        <v>61</v>
      </c>
      <c r="S93" s="71" t="s">
        <v>257</v>
      </c>
      <c r="T93" s="71" t="s">
        <v>257</v>
      </c>
      <c r="U93" s="71"/>
      <c r="V93" s="71"/>
      <c r="W93" s="71"/>
      <c r="X93" s="71" t="s">
        <v>45</v>
      </c>
      <c r="Y93" s="71" t="s">
        <v>45</v>
      </c>
      <c r="Z93" s="71" t="s">
        <v>45</v>
      </c>
      <c r="AA93" s="71" t="s">
        <v>63</v>
      </c>
      <c r="AB93" s="71"/>
      <c r="AC93" s="71"/>
      <c r="AD93" s="71"/>
      <c r="AE93" s="71"/>
      <c r="AF93" s="71"/>
      <c r="AG93" s="241">
        <v>9778504483</v>
      </c>
      <c r="AH93" s="94" t="s">
        <v>404</v>
      </c>
    </row>
    <row r="94" spans="1:34" x14ac:dyDescent="0.35">
      <c r="A94" s="252">
        <v>93</v>
      </c>
      <c r="B94" s="257" t="s">
        <v>408</v>
      </c>
      <c r="C94" s="101" t="s">
        <v>409</v>
      </c>
      <c r="D94" s="246" t="s">
        <v>36</v>
      </c>
      <c r="E94" s="6" t="s">
        <v>50</v>
      </c>
      <c r="F94" s="64" t="s">
        <v>362</v>
      </c>
      <c r="G94" s="115" t="s">
        <v>51</v>
      </c>
      <c r="H94" s="115" t="s">
        <v>166</v>
      </c>
      <c r="I94" s="115" t="s">
        <v>410</v>
      </c>
      <c r="J94" s="220" t="s">
        <v>68</v>
      </c>
      <c r="K94" s="185">
        <v>46188</v>
      </c>
      <c r="L94" s="93" t="s">
        <v>45</v>
      </c>
      <c r="M94" s="94" t="s">
        <v>392</v>
      </c>
      <c r="N94" s="94" t="s">
        <v>59</v>
      </c>
      <c r="O94" s="9" t="s">
        <v>60</v>
      </c>
      <c r="P94" s="71"/>
      <c r="Q94" s="94" t="s">
        <v>403</v>
      </c>
      <c r="R94" s="71" t="s">
        <v>61</v>
      </c>
      <c r="S94" s="71" t="s">
        <v>45</v>
      </c>
      <c r="T94" s="71" t="s">
        <v>45</v>
      </c>
      <c r="U94" s="71" t="s">
        <v>127</v>
      </c>
      <c r="V94" s="71" t="s">
        <v>127</v>
      </c>
      <c r="W94" s="71" t="s">
        <v>127</v>
      </c>
      <c r="X94" s="71" t="s">
        <v>45</v>
      </c>
      <c r="Y94" s="71" t="s">
        <v>45</v>
      </c>
      <c r="Z94" s="71" t="s">
        <v>45</v>
      </c>
      <c r="AA94" s="71" t="s">
        <v>63</v>
      </c>
      <c r="AB94" s="71" t="s">
        <v>127</v>
      </c>
      <c r="AC94" s="71"/>
      <c r="AD94" s="71"/>
      <c r="AE94" s="100"/>
      <c r="AF94" s="71"/>
      <c r="AG94" s="258">
        <v>8074144261</v>
      </c>
      <c r="AH94" s="259" t="s">
        <v>408</v>
      </c>
    </row>
    <row r="95" spans="1:34" x14ac:dyDescent="0.35">
      <c r="A95" s="252">
        <v>94</v>
      </c>
      <c r="B95" s="113" t="s">
        <v>411</v>
      </c>
      <c r="C95" s="260" t="s">
        <v>412</v>
      </c>
      <c r="D95" s="246" t="s">
        <v>36</v>
      </c>
      <c r="E95" s="6" t="s">
        <v>50</v>
      </c>
      <c r="F95" s="64" t="s">
        <v>362</v>
      </c>
      <c r="G95" s="115" t="s">
        <v>56</v>
      </c>
      <c r="H95" s="115" t="s">
        <v>135</v>
      </c>
      <c r="I95" s="115" t="s">
        <v>135</v>
      </c>
      <c r="J95" s="220" t="s">
        <v>68</v>
      </c>
      <c r="K95" s="185">
        <v>46186</v>
      </c>
      <c r="L95" s="93" t="s">
        <v>45</v>
      </c>
      <c r="M95" s="94" t="s">
        <v>392</v>
      </c>
      <c r="N95" s="94" t="s">
        <v>59</v>
      </c>
      <c r="O95" s="214" t="s">
        <v>60</v>
      </c>
      <c r="P95" s="71"/>
      <c r="Q95" s="94" t="s">
        <v>413</v>
      </c>
      <c r="R95" s="93" t="s">
        <v>394</v>
      </c>
      <c r="S95" s="71" t="s">
        <v>45</v>
      </c>
      <c r="T95" s="71" t="s">
        <v>45</v>
      </c>
      <c r="U95" s="71" t="s">
        <v>127</v>
      </c>
      <c r="V95" s="71" t="s">
        <v>127</v>
      </c>
      <c r="W95" s="71" t="s">
        <v>127</v>
      </c>
      <c r="X95" s="71" t="s">
        <v>45</v>
      </c>
      <c r="Y95" s="71" t="s">
        <v>45</v>
      </c>
      <c r="Z95" s="71" t="s">
        <v>45</v>
      </c>
      <c r="AA95" s="71" t="s">
        <v>63</v>
      </c>
      <c r="AB95" s="71"/>
      <c r="AC95" s="71"/>
      <c r="AD95" s="71"/>
      <c r="AE95" s="71"/>
      <c r="AF95" s="71"/>
      <c r="AG95" s="254">
        <v>7676667559</v>
      </c>
      <c r="AH95" s="94" t="s">
        <v>411</v>
      </c>
    </row>
    <row r="96" spans="1:34" x14ac:dyDescent="0.35">
      <c r="A96" s="261">
        <v>95</v>
      </c>
      <c r="B96" s="262" t="s">
        <v>414</v>
      </c>
      <c r="C96" s="263" t="s">
        <v>415</v>
      </c>
      <c r="D96" s="250" t="s">
        <v>36</v>
      </c>
      <c r="E96" s="123" t="s">
        <v>37</v>
      </c>
      <c r="F96" s="182" t="s">
        <v>362</v>
      </c>
      <c r="G96" s="183" t="s">
        <v>51</v>
      </c>
      <c r="H96" s="183" t="s">
        <v>135</v>
      </c>
      <c r="I96" s="183" t="s">
        <v>135</v>
      </c>
      <c r="J96" s="216" t="s">
        <v>57</v>
      </c>
      <c r="K96" s="264">
        <v>46198</v>
      </c>
      <c r="L96" s="249" t="s">
        <v>45</v>
      </c>
      <c r="M96" s="89" t="s">
        <v>416</v>
      </c>
      <c r="N96" s="87" t="s">
        <v>124</v>
      </c>
      <c r="O96" s="265" t="s">
        <v>417</v>
      </c>
      <c r="P96" s="87"/>
      <c r="Q96" s="89" t="s">
        <v>418</v>
      </c>
      <c r="R96" s="87" t="s">
        <v>83</v>
      </c>
      <c r="S96" s="87" t="s">
        <v>45</v>
      </c>
      <c r="T96" s="87"/>
      <c r="U96" s="87" t="s">
        <v>127</v>
      </c>
      <c r="V96" s="87" t="s">
        <v>127</v>
      </c>
      <c r="W96" s="87" t="s">
        <v>127</v>
      </c>
      <c r="X96" s="87" t="s">
        <v>127</v>
      </c>
      <c r="Y96" s="87" t="s">
        <v>127</v>
      </c>
      <c r="Z96" s="87" t="s">
        <v>45</v>
      </c>
      <c r="AA96" s="87" t="s">
        <v>63</v>
      </c>
      <c r="AB96" s="87" t="s">
        <v>127</v>
      </c>
      <c r="AC96" s="87" t="s">
        <v>45</v>
      </c>
      <c r="AD96" s="87" t="s">
        <v>63</v>
      </c>
      <c r="AE96" s="87" t="s">
        <v>65</v>
      </c>
      <c r="AF96" s="266">
        <v>46224</v>
      </c>
      <c r="AG96" s="251">
        <v>7387433639</v>
      </c>
      <c r="AH96" s="267" t="s">
        <v>414</v>
      </c>
    </row>
    <row r="97" spans="1:34" x14ac:dyDescent="0.35">
      <c r="A97" s="268">
        <v>96</v>
      </c>
      <c r="B97" s="269" t="s">
        <v>419</v>
      </c>
      <c r="C97" s="270" t="s">
        <v>420</v>
      </c>
      <c r="D97" s="246" t="s">
        <v>36</v>
      </c>
      <c r="E97" s="6" t="s">
        <v>50</v>
      </c>
      <c r="F97" s="64" t="s">
        <v>362</v>
      </c>
      <c r="G97" s="115" t="s">
        <v>106</v>
      </c>
      <c r="H97" s="115" t="s">
        <v>135</v>
      </c>
      <c r="I97" s="115" t="s">
        <v>135</v>
      </c>
      <c r="J97" s="220" t="s">
        <v>68</v>
      </c>
      <c r="K97" s="185">
        <v>46198</v>
      </c>
      <c r="L97" s="93" t="s">
        <v>45</v>
      </c>
      <c r="M97" s="113" t="s">
        <v>392</v>
      </c>
      <c r="N97" s="93" t="s">
        <v>59</v>
      </c>
      <c r="O97" s="71" t="s">
        <v>60</v>
      </c>
      <c r="P97" s="71"/>
      <c r="Q97" s="113" t="s">
        <v>421</v>
      </c>
      <c r="R97" s="71" t="s">
        <v>83</v>
      </c>
      <c r="S97" s="71" t="s">
        <v>45</v>
      </c>
      <c r="T97" s="71" t="s">
        <v>422</v>
      </c>
      <c r="U97" s="71" t="s">
        <v>127</v>
      </c>
      <c r="V97" s="71" t="s">
        <v>127</v>
      </c>
      <c r="W97" s="71" t="s">
        <v>127</v>
      </c>
      <c r="X97" s="71" t="s">
        <v>45</v>
      </c>
      <c r="Y97" s="71" t="s">
        <v>45</v>
      </c>
      <c r="Z97" s="71" t="s">
        <v>45</v>
      </c>
      <c r="AA97" s="71" t="s">
        <v>63</v>
      </c>
      <c r="AB97" s="71" t="s">
        <v>45</v>
      </c>
      <c r="AC97" s="71" t="s">
        <v>45</v>
      </c>
      <c r="AD97" s="71" t="s">
        <v>63</v>
      </c>
      <c r="AE97" s="71"/>
      <c r="AF97" s="71"/>
      <c r="AG97" s="221">
        <v>7579490959</v>
      </c>
      <c r="AH97" s="113" t="s">
        <v>419</v>
      </c>
    </row>
    <row r="98" spans="1:34" x14ac:dyDescent="0.35">
      <c r="A98" s="71">
        <v>97</v>
      </c>
      <c r="B98" s="271" t="s">
        <v>423</v>
      </c>
      <c r="C98" s="272" t="s">
        <v>424</v>
      </c>
      <c r="D98" s="220" t="s">
        <v>36</v>
      </c>
      <c r="E98" s="71" t="s">
        <v>425</v>
      </c>
      <c r="F98" s="71" t="s">
        <v>55</v>
      </c>
      <c r="G98" s="71" t="s">
        <v>101</v>
      </c>
      <c r="H98" s="71" t="s">
        <v>135</v>
      </c>
      <c r="I98" s="71" t="s">
        <v>135</v>
      </c>
      <c r="J98" s="71" t="s">
        <v>57</v>
      </c>
      <c r="K98" s="218">
        <v>45929</v>
      </c>
      <c r="L98" s="71" t="s">
        <v>45</v>
      </c>
      <c r="M98" s="71" t="s">
        <v>426</v>
      </c>
      <c r="N98" s="273" t="s">
        <v>427</v>
      </c>
      <c r="O98" s="273" t="s">
        <v>427</v>
      </c>
      <c r="P98" s="71" t="s">
        <v>115</v>
      </c>
      <c r="Q98" s="71" t="s">
        <v>428</v>
      </c>
      <c r="R98" s="71" t="s">
        <v>61</v>
      </c>
      <c r="S98" s="71" t="s">
        <v>45</v>
      </c>
      <c r="T98" s="71" t="s">
        <v>45</v>
      </c>
      <c r="U98" s="71" t="s">
        <v>62</v>
      </c>
      <c r="V98" s="71" t="s">
        <v>62</v>
      </c>
      <c r="W98" s="71" t="s">
        <v>62</v>
      </c>
      <c r="X98" s="71" t="s">
        <v>127</v>
      </c>
      <c r="Y98" s="71" t="s">
        <v>127</v>
      </c>
      <c r="Z98" s="71" t="s">
        <v>127</v>
      </c>
      <c r="AA98" s="71" t="s">
        <v>127</v>
      </c>
      <c r="AB98" s="71" t="s">
        <v>127</v>
      </c>
      <c r="AC98" s="71" t="s">
        <v>45</v>
      </c>
      <c r="AD98" s="71" t="s">
        <v>62</v>
      </c>
      <c r="AE98" s="71"/>
      <c r="AF98" s="71"/>
      <c r="AG98" s="221">
        <v>8286009636</v>
      </c>
      <c r="AH98" s="71"/>
    </row>
    <row r="99" spans="1:34" x14ac:dyDescent="0.35">
      <c r="A99" s="71">
        <v>98</v>
      </c>
      <c r="B99" s="135" t="s">
        <v>429</v>
      </c>
      <c r="C99" s="256" t="s">
        <v>430</v>
      </c>
      <c r="D99" s="220" t="s">
        <v>36</v>
      </c>
      <c r="E99" s="71" t="s">
        <v>50</v>
      </c>
      <c r="F99" s="71" t="s">
        <v>431</v>
      </c>
      <c r="G99" s="71" t="s">
        <v>38</v>
      </c>
      <c r="H99" s="71" t="s">
        <v>52</v>
      </c>
      <c r="I99" s="71" t="s">
        <v>149</v>
      </c>
      <c r="J99" s="71" t="s">
        <v>57</v>
      </c>
      <c r="K99" s="218">
        <v>46209</v>
      </c>
      <c r="L99" s="71" t="s">
        <v>45</v>
      </c>
      <c r="M99" s="71" t="s">
        <v>228</v>
      </c>
      <c r="N99" s="71" t="s">
        <v>59</v>
      </c>
      <c r="O99" s="71" t="s">
        <v>60</v>
      </c>
      <c r="P99" s="71"/>
      <c r="Q99" s="71" t="s">
        <v>432</v>
      </c>
      <c r="R99" s="71" t="s">
        <v>61</v>
      </c>
      <c r="S99" s="71" t="s">
        <v>45</v>
      </c>
      <c r="T99" s="71" t="s">
        <v>422</v>
      </c>
      <c r="U99" s="71" t="s">
        <v>62</v>
      </c>
      <c r="V99" s="71" t="s">
        <v>62</v>
      </c>
      <c r="W99" s="71" t="s">
        <v>45</v>
      </c>
      <c r="X99" s="71" t="s">
        <v>45</v>
      </c>
      <c r="Y99" s="71" t="s">
        <v>45</v>
      </c>
      <c r="Z99" s="71" t="s">
        <v>45</v>
      </c>
      <c r="AA99" s="71" t="s">
        <v>45</v>
      </c>
      <c r="AB99" s="71" t="s">
        <v>45</v>
      </c>
      <c r="AC99" s="71" t="s">
        <v>63</v>
      </c>
      <c r="AD99" s="71" t="s">
        <v>63</v>
      </c>
      <c r="AE99" s="71"/>
      <c r="AF99" s="71"/>
      <c r="AG99" s="221" t="s">
        <v>433</v>
      </c>
      <c r="AH99" s="71"/>
    </row>
    <row r="100" spans="1:34" ht="15" x14ac:dyDescent="0.4">
      <c r="A100" s="71">
        <v>99</v>
      </c>
      <c r="B100" s="274" t="s">
        <v>434</v>
      </c>
      <c r="C100" s="2" t="s">
        <v>435</v>
      </c>
      <c r="D100" s="71" t="s">
        <v>36</v>
      </c>
      <c r="E100" s="71" t="s">
        <v>50</v>
      </c>
      <c r="F100" s="71" t="s">
        <v>431</v>
      </c>
      <c r="G100" s="71" t="s">
        <v>51</v>
      </c>
      <c r="H100" s="71" t="s">
        <v>52</v>
      </c>
      <c r="I100" s="71" t="s">
        <v>52</v>
      </c>
      <c r="J100" s="71" t="s">
        <v>68</v>
      </c>
      <c r="K100" s="218">
        <v>46227</v>
      </c>
      <c r="L100" s="71" t="s">
        <v>45</v>
      </c>
      <c r="M100" s="71" t="s">
        <v>119</v>
      </c>
      <c r="N100" s="6" t="s">
        <v>87</v>
      </c>
      <c r="O100" s="104" t="s">
        <v>88</v>
      </c>
      <c r="P100" s="71"/>
      <c r="Q100" s="122" t="s">
        <v>89</v>
      </c>
      <c r="R100" s="71"/>
      <c r="S100" s="71"/>
      <c r="T100" s="71"/>
      <c r="U100" s="71" t="s">
        <v>45</v>
      </c>
      <c r="V100" s="71" t="s">
        <v>45</v>
      </c>
      <c r="W100" s="71" t="s">
        <v>45</v>
      </c>
      <c r="X100" s="71"/>
      <c r="Y100" s="71" t="s">
        <v>45</v>
      </c>
      <c r="Z100" s="71" t="s">
        <v>45</v>
      </c>
      <c r="AA100" s="71"/>
      <c r="AB100" s="71" t="s">
        <v>45</v>
      </c>
      <c r="AC100" s="71"/>
      <c r="AD100" s="71"/>
      <c r="AE100" s="71"/>
      <c r="AF100" s="71"/>
      <c r="AG100" s="221">
        <v>9063033024</v>
      </c>
      <c r="AH100" s="71" t="s">
        <v>436</v>
      </c>
    </row>
    <row r="101" spans="1:34" x14ac:dyDescent="0.35">
      <c r="A101" s="71">
        <v>100</v>
      </c>
      <c r="B101" t="s">
        <v>437</v>
      </c>
      <c r="C101" t="s">
        <v>438</v>
      </c>
      <c r="D101" t="s">
        <v>36</v>
      </c>
      <c r="E101" t="s">
        <v>37</v>
      </c>
      <c r="G101" t="s">
        <v>197</v>
      </c>
      <c r="I101" t="s">
        <v>439</v>
      </c>
      <c r="K101" t="s">
        <v>440</v>
      </c>
      <c r="L101" t="s">
        <v>127</v>
      </c>
      <c r="M101" t="s">
        <v>441</v>
      </c>
      <c r="N101" t="s">
        <v>442</v>
      </c>
      <c r="O101" t="s">
        <v>42</v>
      </c>
      <c r="P101" t="s">
        <v>43</v>
      </c>
      <c r="Q101" t="s">
        <v>126</v>
      </c>
      <c r="U101" t="s">
        <v>45</v>
      </c>
      <c r="V101" t="s">
        <v>45</v>
      </c>
      <c r="W101" t="s">
        <v>45</v>
      </c>
      <c r="AB101" t="s">
        <v>45</v>
      </c>
      <c r="AE101" t="s">
        <v>443</v>
      </c>
      <c r="AG101" t="s">
        <v>444</v>
      </c>
    </row>
    <row r="102" spans="1:34" x14ac:dyDescent="0.35">
      <c r="A102">
        <v>101</v>
      </c>
      <c r="B102" t="s">
        <v>445</v>
      </c>
      <c r="C102" t="s">
        <v>446</v>
      </c>
      <c r="D102" t="s">
        <v>36</v>
      </c>
      <c r="E102" t="s">
        <v>50</v>
      </c>
      <c r="G102" t="s">
        <v>197</v>
      </c>
      <c r="I102" t="s">
        <v>439</v>
      </c>
      <c r="K102" s="3" t="s">
        <v>447</v>
      </c>
      <c r="L102" t="s">
        <v>45</v>
      </c>
      <c r="M102" t="s">
        <v>441</v>
      </c>
      <c r="N102" t="s">
        <v>442</v>
      </c>
      <c r="O102" t="s">
        <v>42</v>
      </c>
      <c r="P102" t="s">
        <v>43</v>
      </c>
      <c r="Q102" t="s">
        <v>448</v>
      </c>
      <c r="U102" t="s">
        <v>127</v>
      </c>
      <c r="V102" t="s">
        <v>127</v>
      </c>
      <c r="W102" t="s">
        <v>127</v>
      </c>
      <c r="AB102" t="s">
        <v>127</v>
      </c>
      <c r="AE102" t="s">
        <v>449</v>
      </c>
      <c r="AG102" t="s">
        <v>450</v>
      </c>
    </row>
    <row r="103" spans="1:34" x14ac:dyDescent="0.35">
      <c r="A103">
        <v>102</v>
      </c>
      <c r="B103" t="s">
        <v>451</v>
      </c>
      <c r="C103" t="s">
        <v>452</v>
      </c>
      <c r="D103" t="s">
        <v>36</v>
      </c>
      <c r="E103" t="s">
        <v>50</v>
      </c>
      <c r="G103" t="s">
        <v>197</v>
      </c>
      <c r="I103" t="s">
        <v>52</v>
      </c>
      <c r="K103" t="s">
        <v>453</v>
      </c>
      <c r="L103" t="s">
        <v>45</v>
      </c>
      <c r="M103" t="s">
        <v>40</v>
      </c>
      <c r="N103" t="s">
        <v>46</v>
      </c>
      <c r="O103" t="s">
        <v>46</v>
      </c>
      <c r="P103" t="s">
        <v>46</v>
      </c>
      <c r="Q103" t="s">
        <v>46</v>
      </c>
      <c r="U103" t="s">
        <v>127</v>
      </c>
      <c r="V103" t="s">
        <v>127</v>
      </c>
      <c r="W103" t="s">
        <v>127</v>
      </c>
      <c r="AB103" t="s">
        <v>127</v>
      </c>
      <c r="AE103" t="s">
        <v>46</v>
      </c>
      <c r="AG103" t="s">
        <v>46</v>
      </c>
    </row>
  </sheetData>
  <conditionalFormatting sqref="B1:B99">
    <cfRule type="duplicateValues" dxfId="15" priority="5"/>
    <cfRule type="duplicateValues" dxfId="14" priority="6"/>
  </conditionalFormatting>
  <conditionalFormatting sqref="C1:C92 C94:C98">
    <cfRule type="duplicateValues" dxfId="13" priority="4"/>
  </conditionalFormatting>
  <conditionalFormatting sqref="C1:C100">
    <cfRule type="duplicateValues" dxfId="12" priority="1"/>
  </conditionalFormatting>
  <conditionalFormatting sqref="C93">
    <cfRule type="duplicateValues" dxfId="11" priority="2"/>
  </conditionalFormatting>
  <conditionalFormatting sqref="C99">
    <cfRule type="duplicateValues" dxfId="10" priority="3"/>
  </conditionalFormatting>
  <conditionalFormatting sqref="N16 P16:Q16">
    <cfRule type="expression" dxfId="9" priority="12">
      <formula>$AH16=1</formula>
    </cfRule>
  </conditionalFormatting>
  <conditionalFormatting sqref="N35 Q35 O40:Q40">
    <cfRule type="expression" dxfId="8" priority="14">
      <formula>$AF35=1</formula>
    </cfRule>
  </conditionalFormatting>
  <conditionalFormatting sqref="N48:P48 N49 N51 Q51 N54:Q54 N56:Q56 N65:Q65 O71 O75:Q75">
    <cfRule type="expression" dxfId="7" priority="10">
      <formula>$AB48=1</formula>
    </cfRule>
  </conditionalFormatting>
  <conditionalFormatting sqref="N14:Q14">
    <cfRule type="expression" dxfId="6" priority="13">
      <formula>$AG14=1</formula>
    </cfRule>
  </conditionalFormatting>
  <conditionalFormatting sqref="O57">
    <cfRule type="expression" dxfId="5" priority="8">
      <formula>$AB57=1</formula>
    </cfRule>
  </conditionalFormatting>
  <conditionalFormatting sqref="O59:Q59">
    <cfRule type="expression" dxfId="4" priority="7">
      <formula>$AB59=1</formula>
    </cfRule>
  </conditionalFormatting>
  <conditionalFormatting sqref="P42 N42:N43 Q42:Q43">
    <cfRule type="expression" dxfId="3" priority="11">
      <formula>$AE42=1</formula>
    </cfRule>
  </conditionalFormatting>
  <conditionalFormatting sqref="Q48:Q49">
    <cfRule type="expression" dxfId="2" priority="9">
      <formula>$AB48=1</formula>
    </cfRule>
  </conditionalFormatting>
  <conditionalFormatting sqref="AH84:AH97">
    <cfRule type="duplicateValues" dxfId="1" priority="15"/>
    <cfRule type="duplicateValues" dxfId="0" priority="16"/>
  </conditionalFormatting>
  <hyperlinks>
    <hyperlink ref="C2" r:id="rId1" xr:uid="{00000000-0004-0000-0000-000000000000}"/>
    <hyperlink ref="C3" r:id="rId2" xr:uid="{00000000-0004-0000-0000-000001000000}"/>
    <hyperlink ref="D3" r:id="rId3" display="mailto:abirudugadda@deloitte.com" xr:uid="{00000000-0004-0000-0000-000002000000}"/>
    <hyperlink ref="C4" r:id="rId4" xr:uid="{00000000-0004-0000-0000-000003000000}"/>
    <hyperlink ref="C5" r:id="rId5" xr:uid="{00000000-0004-0000-0000-000004000000}"/>
    <hyperlink ref="C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C16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5" r:id="rId25" xr:uid="{00000000-0004-0000-0000-000018000000}"/>
    <hyperlink ref="C26" r:id="rId26" xr:uid="{00000000-0004-0000-0000-000019000000}"/>
    <hyperlink ref="C27" r:id="rId27" xr:uid="{00000000-0004-0000-0000-00001A000000}"/>
    <hyperlink ref="C28" r:id="rId28" xr:uid="{00000000-0004-0000-0000-00001B000000}"/>
    <hyperlink ref="C29" r:id="rId29" xr:uid="{00000000-0004-0000-0000-00001C000000}"/>
    <hyperlink ref="C30" r:id="rId30" xr:uid="{00000000-0004-0000-0000-00001D000000}"/>
    <hyperlink ref="C31" r:id="rId31" xr:uid="{00000000-0004-0000-0000-00001E000000}"/>
    <hyperlink ref="C32" r:id="rId32" xr:uid="{00000000-0004-0000-0000-00001F000000}"/>
    <hyperlink ref="C33" r:id="rId33" xr:uid="{00000000-0004-0000-0000-000020000000}"/>
    <hyperlink ref="M33" r:id="rId34" display="akalkundre@deloitte.com" xr:uid="{00000000-0004-0000-0000-000021000000}"/>
    <hyperlink ref="C34" r:id="rId35" xr:uid="{00000000-0004-0000-0000-000022000000}"/>
    <hyperlink ref="C35" r:id="rId36" xr:uid="{00000000-0004-0000-0000-000023000000}"/>
    <hyperlink ref="C36" r:id="rId37" xr:uid="{00000000-0004-0000-0000-000024000000}"/>
    <hyperlink ref="C37" r:id="rId38" xr:uid="{00000000-0004-0000-0000-000025000000}"/>
    <hyperlink ref="C38" r:id="rId39" xr:uid="{00000000-0004-0000-0000-000026000000}"/>
    <hyperlink ref="P38" r:id="rId40" xr:uid="{00000000-0004-0000-0000-000027000000}"/>
    <hyperlink ref="C39" r:id="rId41" xr:uid="{00000000-0004-0000-0000-000028000000}"/>
    <hyperlink ref="C40" r:id="rId42" xr:uid="{00000000-0004-0000-0000-000029000000}"/>
    <hyperlink ref="C41" r:id="rId43" xr:uid="{00000000-0004-0000-0000-00002A000000}"/>
    <hyperlink ref="C42" r:id="rId44" xr:uid="{00000000-0004-0000-0000-00002B000000}"/>
    <hyperlink ref="C43" r:id="rId45" xr:uid="{00000000-0004-0000-0000-00002C000000}"/>
    <hyperlink ref="C44" r:id="rId46" xr:uid="{00000000-0004-0000-0000-00002D000000}"/>
    <hyperlink ref="C45" r:id="rId47" xr:uid="{00000000-0004-0000-0000-00002E000000}"/>
    <hyperlink ref="C47" r:id="rId48" xr:uid="{00000000-0004-0000-0000-00002F000000}"/>
    <hyperlink ref="C48" r:id="rId49" xr:uid="{00000000-0004-0000-0000-000030000000}"/>
    <hyperlink ref="C49" r:id="rId50" xr:uid="{00000000-0004-0000-0000-000031000000}"/>
    <hyperlink ref="C50" r:id="rId51" xr:uid="{00000000-0004-0000-0000-000032000000}"/>
    <hyperlink ref="C51" r:id="rId52" xr:uid="{00000000-0004-0000-0000-000033000000}"/>
    <hyperlink ref="C52" r:id="rId53" xr:uid="{00000000-0004-0000-0000-000034000000}"/>
    <hyperlink ref="C53" r:id="rId54" display="mailto:visviswanathan@deloitte.com" xr:uid="{00000000-0004-0000-0000-000035000000}"/>
    <hyperlink ref="C54" r:id="rId55" xr:uid="{00000000-0004-0000-0000-000036000000}"/>
    <hyperlink ref="C55" r:id="rId56" xr:uid="{00000000-0004-0000-0000-000037000000}"/>
    <hyperlink ref="C56" r:id="rId57" xr:uid="{00000000-0004-0000-0000-000038000000}"/>
    <hyperlink ref="C57" r:id="rId58" xr:uid="{00000000-0004-0000-0000-000039000000}"/>
    <hyperlink ref="C58" r:id="rId59" xr:uid="{00000000-0004-0000-0000-00003A000000}"/>
    <hyperlink ref="C59" r:id="rId60" xr:uid="{00000000-0004-0000-0000-00003B000000}"/>
    <hyperlink ref="C61" r:id="rId61" xr:uid="{00000000-0004-0000-0000-00003C000000}"/>
    <hyperlink ref="C62" r:id="rId62" xr:uid="{00000000-0004-0000-0000-00003D000000}"/>
    <hyperlink ref="C63" r:id="rId63" xr:uid="{00000000-0004-0000-0000-00003E000000}"/>
    <hyperlink ref="C64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1" r:id="rId69" xr:uid="{00000000-0004-0000-0000-000044000000}"/>
    <hyperlink ref="C72" r:id="rId70" xr:uid="{00000000-0004-0000-0000-000045000000}"/>
    <hyperlink ref="C73" r:id="rId71" xr:uid="{00000000-0004-0000-0000-000046000000}"/>
    <hyperlink ref="C75" r:id="rId72" xr:uid="{00000000-0004-0000-0000-000047000000}"/>
    <hyperlink ref="C76" r:id="rId73" xr:uid="{00000000-0004-0000-0000-000048000000}"/>
    <hyperlink ref="C79" r:id="rId74" xr:uid="{00000000-0004-0000-0000-000049000000}"/>
    <hyperlink ref="C80" r:id="rId75" xr:uid="{00000000-0004-0000-0000-00004A000000}"/>
    <hyperlink ref="C82" r:id="rId76" xr:uid="{00000000-0004-0000-0000-00004B000000}"/>
    <hyperlink ref="C83" r:id="rId77" xr:uid="{00000000-0004-0000-0000-00004C000000}"/>
    <hyperlink ref="C84" r:id="rId78" xr:uid="{00000000-0004-0000-0000-00004D000000}"/>
    <hyperlink ref="C85" r:id="rId79" xr:uid="{00000000-0004-0000-0000-00004E000000}"/>
    <hyperlink ref="C86" r:id="rId80" xr:uid="{00000000-0004-0000-0000-00004F000000}"/>
    <hyperlink ref="C87" r:id="rId81" xr:uid="{00000000-0004-0000-0000-000050000000}"/>
    <hyperlink ref="C88" r:id="rId82" xr:uid="{00000000-0004-0000-0000-000051000000}"/>
    <hyperlink ref="C89" r:id="rId83" xr:uid="{00000000-0004-0000-0000-000052000000}"/>
    <hyperlink ref="C90" r:id="rId84" xr:uid="{00000000-0004-0000-0000-000053000000}"/>
    <hyperlink ref="C91" r:id="rId85" xr:uid="{00000000-0004-0000-0000-000054000000}"/>
    <hyperlink ref="C92" r:id="rId86" xr:uid="{00000000-0004-0000-0000-000055000000}"/>
    <hyperlink ref="C93" r:id="rId87" xr:uid="{00000000-0004-0000-0000-000056000000}"/>
    <hyperlink ref="C94" r:id="rId88" xr:uid="{00000000-0004-0000-0000-000057000000}"/>
    <hyperlink ref="C95" r:id="rId89" xr:uid="{00000000-0004-0000-0000-000058000000}"/>
    <hyperlink ref="C96" r:id="rId90" xr:uid="{00000000-0004-0000-0000-000059000000}"/>
    <hyperlink ref="C97" r:id="rId91" xr:uid="{00000000-0004-0000-0000-00005A000000}"/>
    <hyperlink ref="C99" r:id="rId92" xr:uid="{00000000-0004-0000-0000-00005B000000}"/>
    <hyperlink ref="C100" r:id="rId93" xr:uid="{00000000-0004-0000-0000-00005C000000}"/>
  </hyperlinks>
  <pageMargins left="0.7" right="0.7" top="0.75" bottom="0.75" header="0.3" footer="0.3"/>
  <legacyDrawing r:id="rId9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81B8-A234-4EA6-8FB5-B1AA8CB50C92}">
  <dimension ref="A1:E8"/>
  <sheetViews>
    <sheetView workbookViewId="0">
      <selection activeCell="B9" sqref="B9"/>
    </sheetView>
  </sheetViews>
  <sheetFormatPr defaultRowHeight="14.5" x14ac:dyDescent="0.35"/>
  <cols>
    <col min="2" max="2" width="30.6328125" customWidth="1"/>
    <col min="3" max="3" width="13.90625" customWidth="1"/>
  </cols>
  <sheetData>
    <row r="1" spans="1:5" x14ac:dyDescent="0.35">
      <c r="A1" s="1" t="s">
        <v>454</v>
      </c>
      <c r="B1" s="1" t="s">
        <v>455</v>
      </c>
      <c r="C1" s="1" t="s">
        <v>456</v>
      </c>
      <c r="D1" s="1" t="s">
        <v>457</v>
      </c>
      <c r="E1" s="1" t="s">
        <v>458</v>
      </c>
    </row>
    <row r="2" spans="1:5" x14ac:dyDescent="0.35">
      <c r="A2">
        <v>1</v>
      </c>
      <c r="B2" s="2" t="s">
        <v>161</v>
      </c>
      <c r="C2" s="2" t="s">
        <v>459</v>
      </c>
      <c r="D2" t="s">
        <v>460</v>
      </c>
      <c r="E2" t="s">
        <v>461</v>
      </c>
    </row>
    <row r="3" spans="1:5" x14ac:dyDescent="0.35">
      <c r="A3">
        <v>2</v>
      </c>
      <c r="B3" s="2" t="s">
        <v>351</v>
      </c>
      <c r="C3" s="2" t="s">
        <v>462</v>
      </c>
      <c r="D3" t="s">
        <v>463</v>
      </c>
      <c r="E3" t="s">
        <v>461</v>
      </c>
    </row>
    <row r="4" spans="1:5" x14ac:dyDescent="0.35">
      <c r="A4">
        <v>3</v>
      </c>
      <c r="B4" s="2" t="s">
        <v>464</v>
      </c>
      <c r="C4" s="2" t="s">
        <v>465</v>
      </c>
      <c r="D4" t="s">
        <v>460</v>
      </c>
      <c r="E4" t="s">
        <v>461</v>
      </c>
    </row>
    <row r="5" spans="1:5" x14ac:dyDescent="0.35">
      <c r="A5">
        <v>4</v>
      </c>
      <c r="B5" t="s">
        <v>435</v>
      </c>
      <c r="C5" t="s">
        <v>466</v>
      </c>
      <c r="D5" t="s">
        <v>463</v>
      </c>
      <c r="E5" t="s">
        <v>461</v>
      </c>
    </row>
    <row r="6" spans="1:5" x14ac:dyDescent="0.35">
      <c r="A6">
        <v>5</v>
      </c>
      <c r="B6" t="s">
        <v>91</v>
      </c>
      <c r="C6" t="s">
        <v>467</v>
      </c>
      <c r="D6" t="s">
        <v>460</v>
      </c>
      <c r="E6" t="s">
        <v>461</v>
      </c>
    </row>
    <row r="7" spans="1:5" x14ac:dyDescent="0.35">
      <c r="A7">
        <v>6</v>
      </c>
      <c r="B7" t="s">
        <v>94</v>
      </c>
      <c r="C7" t="s">
        <v>468</v>
      </c>
      <c r="D7" t="s">
        <v>463</v>
      </c>
      <c r="E7" t="s">
        <v>469</v>
      </c>
    </row>
    <row r="8" spans="1:5" x14ac:dyDescent="0.35">
      <c r="A8">
        <v>7</v>
      </c>
      <c r="B8" t="s">
        <v>470</v>
      </c>
      <c r="C8" t="s">
        <v>459</v>
      </c>
      <c r="D8" t="s">
        <v>463</v>
      </c>
      <c r="E8" t="s">
        <v>461</v>
      </c>
    </row>
  </sheetData>
  <hyperlinks>
    <hyperlink ref="B2" r:id="rId1" xr:uid="{00000000-0004-0000-0100-000000000000}"/>
    <hyperlink ref="C2" r:id="rId2" xr:uid="{00000000-0004-0000-0100-000001000000}"/>
    <hyperlink ref="B3" r:id="rId3" xr:uid="{00000000-0004-0000-0100-000002000000}"/>
    <hyperlink ref="C3" r:id="rId4" xr:uid="{00000000-0004-0000-0100-000003000000}"/>
    <hyperlink ref="B4" r:id="rId5" xr:uid="{00000000-0004-0000-0100-000004000000}"/>
    <hyperlink ref="C4" r:id="rId6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30F7-7ECF-4A8C-8A31-042445403756}">
  <dimension ref="A1:E23"/>
  <sheetViews>
    <sheetView topLeftCell="A3" workbookViewId="0">
      <selection activeCell="C23" sqref="C23"/>
    </sheetView>
  </sheetViews>
  <sheetFormatPr defaultRowHeight="14.5" x14ac:dyDescent="0.35"/>
  <cols>
    <col min="2" max="2" width="18.54296875" customWidth="1"/>
    <col min="3" max="3" width="19.36328125" customWidth="1"/>
    <col min="4" max="4" width="11.81640625" customWidth="1"/>
    <col min="5" max="5" width="57.7265625" customWidth="1"/>
  </cols>
  <sheetData>
    <row r="1" spans="1:5" x14ac:dyDescent="0.35">
      <c r="A1" s="1" t="s">
        <v>471</v>
      </c>
      <c r="B1" s="1" t="s">
        <v>472</v>
      </c>
      <c r="C1" s="1" t="s">
        <v>473</v>
      </c>
      <c r="D1" s="1" t="s">
        <v>474</v>
      </c>
      <c r="E1" s="1" t="s">
        <v>475</v>
      </c>
    </row>
    <row r="2" spans="1:5" x14ac:dyDescent="0.35">
      <c r="A2">
        <v>1</v>
      </c>
      <c r="B2" t="s">
        <v>169</v>
      </c>
      <c r="C2" t="s">
        <v>476</v>
      </c>
      <c r="D2">
        <v>1</v>
      </c>
      <c r="E2" t="s">
        <v>477</v>
      </c>
    </row>
    <row r="3" spans="1:5" x14ac:dyDescent="0.35">
      <c r="A3">
        <v>2</v>
      </c>
      <c r="B3" t="s">
        <v>169</v>
      </c>
      <c r="C3" t="s">
        <v>478</v>
      </c>
      <c r="D3">
        <v>2</v>
      </c>
      <c r="E3" t="s">
        <v>479</v>
      </c>
    </row>
    <row r="4" spans="1:5" x14ac:dyDescent="0.35">
      <c r="A4">
        <v>3</v>
      </c>
      <c r="B4" t="s">
        <v>169</v>
      </c>
      <c r="C4" t="s">
        <v>480</v>
      </c>
      <c r="D4">
        <v>3</v>
      </c>
      <c r="E4" t="s">
        <v>481</v>
      </c>
    </row>
    <row r="5" spans="1:5" x14ac:dyDescent="0.35">
      <c r="A5">
        <v>4</v>
      </c>
      <c r="B5" t="s">
        <v>169</v>
      </c>
      <c r="C5" t="s">
        <v>482</v>
      </c>
      <c r="D5">
        <v>4</v>
      </c>
      <c r="E5" t="s">
        <v>483</v>
      </c>
    </row>
    <row r="6" spans="1:5" x14ac:dyDescent="0.35">
      <c r="A6">
        <v>5</v>
      </c>
      <c r="B6" t="s">
        <v>484</v>
      </c>
      <c r="C6" t="s">
        <v>485</v>
      </c>
      <c r="D6">
        <v>1</v>
      </c>
      <c r="E6" t="s">
        <v>486</v>
      </c>
    </row>
    <row r="7" spans="1:5" x14ac:dyDescent="0.35">
      <c r="A7">
        <v>6</v>
      </c>
      <c r="B7" t="s">
        <v>484</v>
      </c>
      <c r="C7" t="s">
        <v>478</v>
      </c>
      <c r="D7">
        <v>2</v>
      </c>
      <c r="E7" t="s">
        <v>479</v>
      </c>
    </row>
    <row r="8" spans="1:5" x14ac:dyDescent="0.35">
      <c r="A8">
        <v>7</v>
      </c>
      <c r="B8" t="s">
        <v>484</v>
      </c>
      <c r="C8" t="s">
        <v>480</v>
      </c>
      <c r="D8">
        <v>3</v>
      </c>
      <c r="E8" t="s">
        <v>481</v>
      </c>
    </row>
    <row r="9" spans="1:5" x14ac:dyDescent="0.35">
      <c r="A9">
        <v>9</v>
      </c>
      <c r="B9" t="s">
        <v>487</v>
      </c>
      <c r="C9" t="s">
        <v>476</v>
      </c>
      <c r="D9">
        <v>1</v>
      </c>
      <c r="E9" t="s">
        <v>477</v>
      </c>
    </row>
    <row r="10" spans="1:5" x14ac:dyDescent="0.35">
      <c r="A10">
        <v>10</v>
      </c>
      <c r="B10" t="s">
        <v>487</v>
      </c>
      <c r="C10" t="s">
        <v>478</v>
      </c>
      <c r="D10">
        <v>2</v>
      </c>
      <c r="E10" t="s">
        <v>479</v>
      </c>
    </row>
    <row r="11" spans="1:5" x14ac:dyDescent="0.35">
      <c r="A11">
        <v>11</v>
      </c>
      <c r="B11" t="s">
        <v>487</v>
      </c>
      <c r="C11" t="s">
        <v>480</v>
      </c>
      <c r="D11">
        <v>3</v>
      </c>
      <c r="E11" t="s">
        <v>481</v>
      </c>
    </row>
    <row r="12" spans="1:5" x14ac:dyDescent="0.35">
      <c r="A12">
        <v>12</v>
      </c>
      <c r="B12" t="s">
        <v>487</v>
      </c>
      <c r="C12" t="s">
        <v>482</v>
      </c>
      <c r="D12">
        <v>4</v>
      </c>
      <c r="E12" t="s">
        <v>483</v>
      </c>
    </row>
    <row r="13" spans="1:5" x14ac:dyDescent="0.35">
      <c r="A13">
        <v>13</v>
      </c>
      <c r="B13" t="s">
        <v>488</v>
      </c>
      <c r="C13" t="s">
        <v>476</v>
      </c>
      <c r="D13">
        <v>1</v>
      </c>
      <c r="E13" t="s">
        <v>477</v>
      </c>
    </row>
    <row r="14" spans="1:5" x14ac:dyDescent="0.35">
      <c r="A14">
        <v>14</v>
      </c>
      <c r="B14" t="s">
        <v>488</v>
      </c>
      <c r="C14" t="s">
        <v>478</v>
      </c>
      <c r="D14">
        <v>2</v>
      </c>
      <c r="E14" t="s">
        <v>479</v>
      </c>
    </row>
    <row r="15" spans="1:5" x14ac:dyDescent="0.35">
      <c r="A15">
        <v>15</v>
      </c>
      <c r="B15" t="s">
        <v>488</v>
      </c>
      <c r="C15" t="s">
        <v>480</v>
      </c>
      <c r="D15">
        <v>3</v>
      </c>
      <c r="E15" t="s">
        <v>481</v>
      </c>
    </row>
    <row r="16" spans="1:5" x14ac:dyDescent="0.35">
      <c r="A16">
        <v>16</v>
      </c>
      <c r="B16" t="s">
        <v>488</v>
      </c>
      <c r="C16" t="s">
        <v>482</v>
      </c>
      <c r="D16">
        <v>4</v>
      </c>
      <c r="E16" t="s">
        <v>483</v>
      </c>
    </row>
    <row r="17" spans="1:5" x14ac:dyDescent="0.35">
      <c r="A17">
        <v>17</v>
      </c>
      <c r="B17" t="s">
        <v>489</v>
      </c>
      <c r="C17" t="s">
        <v>476</v>
      </c>
      <c r="D17">
        <v>1</v>
      </c>
      <c r="E17" t="s">
        <v>477</v>
      </c>
    </row>
    <row r="18" spans="1:5" x14ac:dyDescent="0.35">
      <c r="A18">
        <v>18</v>
      </c>
      <c r="B18" t="s">
        <v>489</v>
      </c>
      <c r="C18" t="s">
        <v>478</v>
      </c>
      <c r="D18">
        <v>2</v>
      </c>
      <c r="E18" t="s">
        <v>479</v>
      </c>
    </row>
    <row r="19" spans="1:5" x14ac:dyDescent="0.35">
      <c r="A19">
        <v>19</v>
      </c>
      <c r="B19" t="s">
        <v>489</v>
      </c>
      <c r="C19" t="s">
        <v>480</v>
      </c>
      <c r="D19">
        <v>3</v>
      </c>
      <c r="E19" t="s">
        <v>481</v>
      </c>
    </row>
    <row r="20" spans="1:5" x14ac:dyDescent="0.35">
      <c r="A20">
        <v>20</v>
      </c>
      <c r="B20" t="s">
        <v>489</v>
      </c>
      <c r="C20" t="s">
        <v>482</v>
      </c>
      <c r="D20">
        <v>4</v>
      </c>
      <c r="E20" t="s">
        <v>483</v>
      </c>
    </row>
    <row r="21" spans="1:5" x14ac:dyDescent="0.35">
      <c r="A21">
        <v>21</v>
      </c>
      <c r="B21" t="s">
        <v>484</v>
      </c>
      <c r="C21" t="s">
        <v>490</v>
      </c>
      <c r="D21">
        <v>4</v>
      </c>
      <c r="E21" t="s">
        <v>491</v>
      </c>
    </row>
    <row r="22" spans="1:5" x14ac:dyDescent="0.35">
      <c r="A22">
        <v>22</v>
      </c>
      <c r="B22" t="s">
        <v>484</v>
      </c>
      <c r="C22" t="s">
        <v>492</v>
      </c>
      <c r="D22">
        <v>5</v>
      </c>
      <c r="E22" t="s">
        <v>493</v>
      </c>
    </row>
    <row r="23" spans="1:5" x14ac:dyDescent="0.35">
      <c r="A23">
        <v>23</v>
      </c>
      <c r="B23" t="s">
        <v>206</v>
      </c>
      <c r="C23" t="s">
        <v>485</v>
      </c>
      <c r="D23">
        <v>1</v>
      </c>
      <c r="E23" t="s">
        <v>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B618-8BC8-49DD-B7A7-74400FF462D0}">
  <dimension ref="A1:E11"/>
  <sheetViews>
    <sheetView workbookViewId="0">
      <selection activeCell="E11" sqref="E11"/>
    </sheetView>
  </sheetViews>
  <sheetFormatPr defaultRowHeight="14.5" x14ac:dyDescent="0.35"/>
  <cols>
    <col min="1" max="1" width="11.36328125" customWidth="1"/>
    <col min="2" max="3" width="14.36328125" customWidth="1"/>
    <col min="4" max="4" width="19.26953125" customWidth="1"/>
    <col min="5" max="5" width="16.26953125" customWidth="1"/>
  </cols>
  <sheetData>
    <row r="1" spans="1:5" x14ac:dyDescent="0.35">
      <c r="A1" s="4" t="s">
        <v>495</v>
      </c>
      <c r="B1" s="4" t="s">
        <v>496</v>
      </c>
      <c r="C1" s="4" t="s">
        <v>471</v>
      </c>
      <c r="D1" s="4" t="s">
        <v>497</v>
      </c>
      <c r="E1" s="4" t="s">
        <v>498</v>
      </c>
    </row>
    <row r="2" spans="1:5" x14ac:dyDescent="0.35">
      <c r="A2">
        <v>2</v>
      </c>
      <c r="B2">
        <v>38</v>
      </c>
      <c r="C2">
        <v>2</v>
      </c>
      <c r="D2" t="s">
        <v>499</v>
      </c>
      <c r="E2" t="s">
        <v>46</v>
      </c>
    </row>
    <row r="3" spans="1:5" x14ac:dyDescent="0.35">
      <c r="A3">
        <v>3</v>
      </c>
      <c r="B3">
        <v>24</v>
      </c>
      <c r="C3">
        <v>3</v>
      </c>
      <c r="D3" t="s">
        <v>499</v>
      </c>
      <c r="E3" t="s">
        <v>46</v>
      </c>
    </row>
    <row r="4" spans="1:5" x14ac:dyDescent="0.35">
      <c r="A4">
        <v>5</v>
      </c>
      <c r="B4">
        <v>34</v>
      </c>
      <c r="C4">
        <v>1</v>
      </c>
      <c r="D4" t="s">
        <v>61</v>
      </c>
      <c r="E4" t="s">
        <v>500</v>
      </c>
    </row>
    <row r="5" spans="1:5" x14ac:dyDescent="0.35">
      <c r="A5">
        <v>6</v>
      </c>
      <c r="B5">
        <v>80</v>
      </c>
      <c r="C5">
        <v>5</v>
      </c>
      <c r="D5" t="s">
        <v>61</v>
      </c>
      <c r="E5" t="s">
        <v>501</v>
      </c>
    </row>
    <row r="6" spans="1:5" x14ac:dyDescent="0.35">
      <c r="A6">
        <v>7</v>
      </c>
      <c r="B6">
        <v>80</v>
      </c>
      <c r="C6">
        <v>6</v>
      </c>
      <c r="D6" t="s">
        <v>61</v>
      </c>
      <c r="E6" t="s">
        <v>501</v>
      </c>
    </row>
    <row r="7" spans="1:5" x14ac:dyDescent="0.35">
      <c r="A7">
        <v>8</v>
      </c>
      <c r="B7">
        <v>25</v>
      </c>
      <c r="C7">
        <v>5</v>
      </c>
      <c r="D7" t="s">
        <v>61</v>
      </c>
      <c r="E7" t="s">
        <v>447</v>
      </c>
    </row>
    <row r="8" spans="1:5" x14ac:dyDescent="0.35">
      <c r="A8">
        <v>9</v>
      </c>
      <c r="B8">
        <v>1</v>
      </c>
      <c r="C8">
        <v>1</v>
      </c>
      <c r="D8" t="s">
        <v>61</v>
      </c>
      <c r="E8" t="s">
        <v>447</v>
      </c>
    </row>
    <row r="9" spans="1:5" x14ac:dyDescent="0.35">
      <c r="A9">
        <v>10</v>
      </c>
      <c r="B9">
        <v>25</v>
      </c>
      <c r="C9">
        <v>7</v>
      </c>
      <c r="D9" t="s">
        <v>61</v>
      </c>
      <c r="E9" t="s">
        <v>447</v>
      </c>
    </row>
    <row r="10" spans="1:5" x14ac:dyDescent="0.35">
      <c r="A10">
        <v>11</v>
      </c>
      <c r="B10">
        <v>25</v>
      </c>
      <c r="C10">
        <v>21</v>
      </c>
      <c r="D10" t="s">
        <v>502</v>
      </c>
      <c r="E10" t="s">
        <v>46</v>
      </c>
    </row>
    <row r="11" spans="1:5" x14ac:dyDescent="0.35">
      <c r="A11">
        <v>12</v>
      </c>
      <c r="B11">
        <v>25</v>
      </c>
      <c r="C11">
        <v>22</v>
      </c>
      <c r="D11" t="s">
        <v>502</v>
      </c>
      <c r="E1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B356-7CA8-4073-B5EA-2ED7E0869648}">
  <dimension ref="A1:E6"/>
  <sheetViews>
    <sheetView workbookViewId="0">
      <selection activeCell="C12" sqref="C12"/>
    </sheetView>
  </sheetViews>
  <sheetFormatPr defaultRowHeight="14.5" x14ac:dyDescent="0.35"/>
  <cols>
    <col min="1" max="1" width="16.36328125" customWidth="1"/>
    <col min="2" max="2" width="17.6328125" customWidth="1"/>
    <col min="3" max="3" width="26.54296875" customWidth="1"/>
    <col min="4" max="4" width="19.7265625" customWidth="1"/>
    <col min="5" max="5" width="15.90625" customWidth="1"/>
  </cols>
  <sheetData>
    <row r="1" spans="1:5" x14ac:dyDescent="0.35">
      <c r="A1" s="4" t="s">
        <v>503</v>
      </c>
      <c r="B1" s="4" t="s">
        <v>1</v>
      </c>
      <c r="C1" s="4" t="s">
        <v>2</v>
      </c>
      <c r="D1" s="4" t="s">
        <v>457</v>
      </c>
      <c r="E1" s="4" t="s">
        <v>504</v>
      </c>
    </row>
    <row r="2" spans="1:5" x14ac:dyDescent="0.35">
      <c r="A2">
        <v>80</v>
      </c>
      <c r="B2" t="s">
        <v>346</v>
      </c>
      <c r="C2" s="2" t="s">
        <v>347</v>
      </c>
      <c r="D2" t="s">
        <v>505</v>
      </c>
      <c r="E2" t="s">
        <v>506</v>
      </c>
    </row>
    <row r="3" spans="1:5" x14ac:dyDescent="0.35">
      <c r="A3">
        <v>35</v>
      </c>
      <c r="B3" t="s">
        <v>192</v>
      </c>
      <c r="C3" t="s">
        <v>193</v>
      </c>
      <c r="D3" t="s">
        <v>52</v>
      </c>
      <c r="E3" t="s">
        <v>507</v>
      </c>
    </row>
    <row r="4" spans="1:5" x14ac:dyDescent="0.35">
      <c r="A4">
        <v>41</v>
      </c>
      <c r="B4" t="s">
        <v>217</v>
      </c>
      <c r="C4" t="s">
        <v>218</v>
      </c>
      <c r="D4" t="s">
        <v>439</v>
      </c>
      <c r="E4" t="s">
        <v>508</v>
      </c>
    </row>
    <row r="5" spans="1:5" x14ac:dyDescent="0.35">
      <c r="A5">
        <v>13</v>
      </c>
      <c r="B5" t="s">
        <v>108</v>
      </c>
      <c r="C5" t="s">
        <v>109</v>
      </c>
      <c r="D5" t="s">
        <v>439</v>
      </c>
      <c r="E5" t="s">
        <v>509</v>
      </c>
    </row>
    <row r="6" spans="1:5" x14ac:dyDescent="0.35">
      <c r="A6">
        <v>16</v>
      </c>
      <c r="B6" t="s">
        <v>120</v>
      </c>
      <c r="C6" t="s">
        <v>121</v>
      </c>
      <c r="D6" t="s">
        <v>157</v>
      </c>
      <c r="E6" t="s">
        <v>510</v>
      </c>
    </row>
  </sheetData>
  <hyperlinks>
    <hyperlink ref="C2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47C1-2082-4307-8EB3-961E6465F131}">
  <dimension ref="A1:F10"/>
  <sheetViews>
    <sheetView workbookViewId="0">
      <selection activeCell="E12" sqref="E12"/>
    </sheetView>
  </sheetViews>
  <sheetFormatPr defaultRowHeight="14.5" x14ac:dyDescent="0.35"/>
  <cols>
    <col min="1" max="1" width="13.6328125" customWidth="1"/>
    <col min="2" max="2" width="13" customWidth="1"/>
    <col min="3" max="3" width="12.81640625" customWidth="1"/>
    <col min="4" max="4" width="12.7265625" customWidth="1"/>
    <col min="5" max="5" width="13.08984375" customWidth="1"/>
    <col min="6" max="6" width="16.453125" customWidth="1"/>
  </cols>
  <sheetData>
    <row r="1" spans="1:6" x14ac:dyDescent="0.35">
      <c r="A1" s="1" t="s">
        <v>511</v>
      </c>
      <c r="B1" s="1" t="s">
        <v>496</v>
      </c>
      <c r="C1" s="1" t="s">
        <v>512</v>
      </c>
      <c r="D1" s="1" t="s">
        <v>497</v>
      </c>
      <c r="E1" s="1" t="s">
        <v>513</v>
      </c>
      <c r="F1" s="1" t="s">
        <v>498</v>
      </c>
    </row>
    <row r="2" spans="1:6" x14ac:dyDescent="0.35">
      <c r="A2">
        <v>1</v>
      </c>
      <c r="B2">
        <v>22</v>
      </c>
      <c r="C2" t="s">
        <v>514</v>
      </c>
      <c r="D2" t="s">
        <v>61</v>
      </c>
      <c r="E2" s="3">
        <v>46295</v>
      </c>
      <c r="F2" s="3">
        <v>46249</v>
      </c>
    </row>
    <row r="3" spans="1:6" x14ac:dyDescent="0.35">
      <c r="A3">
        <v>2</v>
      </c>
      <c r="B3">
        <v>22</v>
      </c>
      <c r="C3" t="s">
        <v>515</v>
      </c>
      <c r="D3" t="s">
        <v>320</v>
      </c>
      <c r="E3" s="3">
        <v>46325</v>
      </c>
    </row>
    <row r="4" spans="1:6" x14ac:dyDescent="0.35">
      <c r="A4">
        <v>3</v>
      </c>
      <c r="B4">
        <v>22</v>
      </c>
      <c r="C4" t="s">
        <v>516</v>
      </c>
      <c r="D4" t="s">
        <v>61</v>
      </c>
      <c r="E4" s="3">
        <v>46295</v>
      </c>
      <c r="F4" s="3">
        <v>46255</v>
      </c>
    </row>
    <row r="5" spans="1:6" x14ac:dyDescent="0.35">
      <c r="A5">
        <v>4</v>
      </c>
      <c r="B5">
        <v>78</v>
      </c>
      <c r="C5" t="s">
        <v>514</v>
      </c>
      <c r="D5" t="s">
        <v>61</v>
      </c>
      <c r="E5" s="3">
        <v>46295</v>
      </c>
      <c r="F5" s="3">
        <v>46268</v>
      </c>
    </row>
    <row r="6" spans="1:6" x14ac:dyDescent="0.35">
      <c r="A6">
        <v>5</v>
      </c>
      <c r="B6">
        <v>87</v>
      </c>
      <c r="C6" t="s">
        <v>515</v>
      </c>
      <c r="D6" t="s">
        <v>320</v>
      </c>
      <c r="E6" s="3">
        <v>46325</v>
      </c>
    </row>
    <row r="7" spans="1:6" x14ac:dyDescent="0.35">
      <c r="A7">
        <v>6</v>
      </c>
      <c r="B7">
        <v>78</v>
      </c>
      <c r="C7" t="s">
        <v>517</v>
      </c>
      <c r="D7" t="s">
        <v>502</v>
      </c>
      <c r="E7" t="s">
        <v>518</v>
      </c>
    </row>
    <row r="8" spans="1:6" x14ac:dyDescent="0.35">
      <c r="A8">
        <v>7</v>
      </c>
      <c r="B8">
        <v>94</v>
      </c>
      <c r="C8" t="s">
        <v>514</v>
      </c>
      <c r="D8" t="s">
        <v>61</v>
      </c>
    </row>
    <row r="9" spans="1:6" x14ac:dyDescent="0.35">
      <c r="A9">
        <v>8</v>
      </c>
      <c r="B9">
        <v>55</v>
      </c>
      <c r="C9" t="s">
        <v>28</v>
      </c>
      <c r="D9" t="s">
        <v>61</v>
      </c>
      <c r="E9" t="s">
        <v>519</v>
      </c>
      <c r="F9" t="s">
        <v>520</v>
      </c>
    </row>
    <row r="10" spans="1:6" x14ac:dyDescent="0.35">
      <c r="A10">
        <v>9</v>
      </c>
      <c r="B10">
        <v>80</v>
      </c>
      <c r="C10" t="s">
        <v>517</v>
      </c>
      <c r="D10" t="s">
        <v>61</v>
      </c>
      <c r="E10" t="s">
        <v>519</v>
      </c>
      <c r="F10" t="s">
        <v>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D0F0-16BC-4E2D-A0FF-5187CA7778B6}">
  <dimension ref="A1:K29"/>
  <sheetViews>
    <sheetView tabSelected="1" topLeftCell="A29" workbookViewId="0">
      <selection activeCell="C41" sqref="C41"/>
    </sheetView>
  </sheetViews>
  <sheetFormatPr defaultRowHeight="14.5" x14ac:dyDescent="0.35"/>
  <cols>
    <col min="1" max="1" width="23.36328125" customWidth="1"/>
    <col min="2" max="2" width="29.6328125" customWidth="1"/>
    <col min="3" max="3" width="19.7265625" customWidth="1"/>
    <col min="4" max="4" width="21.7265625" customWidth="1"/>
    <col min="5" max="5" width="18.26953125" customWidth="1"/>
    <col min="6" max="6" width="23.1796875" customWidth="1"/>
    <col min="7" max="7" width="13.7265625" customWidth="1"/>
    <col min="8" max="8" width="14.54296875" customWidth="1"/>
    <col min="9" max="9" width="16" customWidth="1"/>
    <col min="10" max="10" width="17.81640625" customWidth="1"/>
    <col min="11" max="11" width="21.6328125" customWidth="1"/>
  </cols>
  <sheetData>
    <row r="1" spans="1:11" ht="58" x14ac:dyDescent="0.35">
      <c r="A1" s="22" t="s">
        <v>0</v>
      </c>
      <c r="B1" s="22" t="s">
        <v>522</v>
      </c>
      <c r="C1" s="23" t="s">
        <v>523</v>
      </c>
      <c r="D1" s="22" t="s">
        <v>524</v>
      </c>
      <c r="E1" s="22" t="s">
        <v>525</v>
      </c>
      <c r="F1" s="23" t="s">
        <v>526</v>
      </c>
      <c r="G1" s="23" t="s">
        <v>527</v>
      </c>
      <c r="H1" s="23" t="s">
        <v>528</v>
      </c>
      <c r="I1" s="23" t="s">
        <v>529</v>
      </c>
      <c r="J1" s="23" t="s">
        <v>530</v>
      </c>
      <c r="K1" s="23" t="s">
        <v>531</v>
      </c>
    </row>
    <row r="2" spans="1:11" ht="126" customHeight="1" x14ac:dyDescent="0.35">
      <c r="A2" s="5">
        <v>1</v>
      </c>
      <c r="B2" s="6" t="s">
        <v>169</v>
      </c>
      <c r="C2" s="7" t="s">
        <v>50</v>
      </c>
      <c r="D2" s="5">
        <v>5</v>
      </c>
      <c r="E2" s="6" t="s">
        <v>164</v>
      </c>
      <c r="F2" s="7" t="s">
        <v>45</v>
      </c>
      <c r="G2" s="5" t="s">
        <v>45</v>
      </c>
      <c r="H2" s="6"/>
      <c r="I2" s="6"/>
      <c r="J2" s="6" t="s">
        <v>532</v>
      </c>
      <c r="K2" s="8" t="s">
        <v>533</v>
      </c>
    </row>
    <row r="3" spans="1:11" x14ac:dyDescent="0.35">
      <c r="A3" s="5">
        <v>2</v>
      </c>
      <c r="B3" s="6" t="s">
        <v>235</v>
      </c>
      <c r="C3" s="7" t="s">
        <v>50</v>
      </c>
      <c r="D3" s="5">
        <v>4</v>
      </c>
      <c r="E3" s="9" t="s">
        <v>534</v>
      </c>
      <c r="F3" s="7" t="s">
        <v>127</v>
      </c>
      <c r="G3" s="5" t="s">
        <v>127</v>
      </c>
      <c r="H3" s="6"/>
      <c r="I3" s="6"/>
      <c r="J3" s="6" t="s">
        <v>535</v>
      </c>
      <c r="K3" s="8"/>
    </row>
    <row r="4" spans="1:11" x14ac:dyDescent="0.35">
      <c r="A4" s="5">
        <v>3</v>
      </c>
      <c r="B4" s="6" t="s">
        <v>78</v>
      </c>
      <c r="C4" s="7" t="s">
        <v>50</v>
      </c>
      <c r="D4" s="5">
        <v>2</v>
      </c>
      <c r="E4" s="6" t="s">
        <v>536</v>
      </c>
      <c r="F4" s="7" t="s">
        <v>127</v>
      </c>
      <c r="G4" s="5" t="s">
        <v>127</v>
      </c>
      <c r="H4" s="6" t="s">
        <v>537</v>
      </c>
      <c r="I4" s="6" t="s">
        <v>538</v>
      </c>
      <c r="J4" s="6"/>
      <c r="K4" s="8"/>
    </row>
    <row r="5" spans="1:11" x14ac:dyDescent="0.35">
      <c r="A5" s="5">
        <v>4</v>
      </c>
      <c r="B5" s="6" t="s">
        <v>221</v>
      </c>
      <c r="C5" s="7" t="s">
        <v>50</v>
      </c>
      <c r="D5" s="5">
        <v>2</v>
      </c>
      <c r="E5" s="6" t="s">
        <v>263</v>
      </c>
      <c r="F5" s="7" t="s">
        <v>127</v>
      </c>
      <c r="G5" s="5" t="s">
        <v>127</v>
      </c>
      <c r="H5" s="6" t="s">
        <v>539</v>
      </c>
      <c r="I5" s="6" t="s">
        <v>540</v>
      </c>
      <c r="J5" s="6"/>
      <c r="K5" s="8"/>
    </row>
    <row r="6" spans="1:11" x14ac:dyDescent="0.35">
      <c r="A6" s="5">
        <v>5</v>
      </c>
      <c r="B6" s="6" t="s">
        <v>541</v>
      </c>
      <c r="C6" s="7"/>
      <c r="D6" s="5"/>
      <c r="E6" s="6"/>
      <c r="F6" s="7"/>
      <c r="G6" s="5"/>
      <c r="H6" s="6"/>
      <c r="I6" s="6"/>
      <c r="J6" s="6"/>
      <c r="K6" s="8"/>
    </row>
    <row r="7" spans="1:11" x14ac:dyDescent="0.35">
      <c r="A7" s="5">
        <v>6</v>
      </c>
      <c r="B7" s="6" t="s">
        <v>176</v>
      </c>
      <c r="C7" s="7" t="s">
        <v>50</v>
      </c>
      <c r="D7" s="5">
        <v>1</v>
      </c>
      <c r="E7" s="10" t="s">
        <v>172</v>
      </c>
      <c r="F7" s="7" t="s">
        <v>127</v>
      </c>
      <c r="G7" s="5" t="s">
        <v>127</v>
      </c>
      <c r="H7" s="6" t="s">
        <v>190</v>
      </c>
      <c r="I7" s="6" t="s">
        <v>538</v>
      </c>
      <c r="J7" s="6"/>
      <c r="K7" s="8"/>
    </row>
    <row r="8" spans="1:11" x14ac:dyDescent="0.35">
      <c r="A8" s="5">
        <v>8</v>
      </c>
      <c r="B8" s="6" t="s">
        <v>297</v>
      </c>
      <c r="C8" s="7"/>
      <c r="D8" s="5"/>
      <c r="E8" s="6"/>
      <c r="F8" s="7"/>
      <c r="G8" s="5"/>
      <c r="H8" s="6"/>
      <c r="I8" s="6"/>
      <c r="J8" s="6"/>
      <c r="K8" s="8"/>
    </row>
    <row r="9" spans="1:11" ht="82" customHeight="1" x14ac:dyDescent="0.35">
      <c r="A9" s="5">
        <v>9</v>
      </c>
      <c r="B9" s="6" t="s">
        <v>159</v>
      </c>
      <c r="C9" s="7" t="s">
        <v>50</v>
      </c>
      <c r="D9" s="5">
        <v>4</v>
      </c>
      <c r="E9" s="6" t="s">
        <v>324</v>
      </c>
      <c r="F9" s="7" t="s">
        <v>45</v>
      </c>
      <c r="G9" s="5" t="s">
        <v>45</v>
      </c>
      <c r="H9" s="6"/>
      <c r="I9" s="6"/>
      <c r="J9" s="6"/>
      <c r="K9" s="11" t="s">
        <v>542</v>
      </c>
    </row>
    <row r="10" spans="1:11" x14ac:dyDescent="0.35">
      <c r="A10" s="5">
        <v>10</v>
      </c>
      <c r="B10" s="6" t="s">
        <v>206</v>
      </c>
      <c r="C10" s="7" t="s">
        <v>50</v>
      </c>
      <c r="D10" s="5">
        <v>3</v>
      </c>
      <c r="E10" s="9" t="s">
        <v>223</v>
      </c>
      <c r="F10" s="7" t="s">
        <v>127</v>
      </c>
      <c r="G10" s="5" t="s">
        <v>127</v>
      </c>
      <c r="H10" s="6"/>
      <c r="I10" s="6" t="s">
        <v>543</v>
      </c>
      <c r="J10" s="6"/>
      <c r="K10" s="8"/>
    </row>
    <row r="11" spans="1:11" ht="246" customHeight="1" x14ac:dyDescent="0.35">
      <c r="A11" s="5">
        <v>11</v>
      </c>
      <c r="B11" s="6" t="s">
        <v>58</v>
      </c>
      <c r="C11" s="7" t="s">
        <v>50</v>
      </c>
      <c r="D11" s="5">
        <v>14</v>
      </c>
      <c r="E11" s="6" t="s">
        <v>544</v>
      </c>
      <c r="F11" s="7" t="s">
        <v>45</v>
      </c>
      <c r="G11" s="5" t="s">
        <v>45</v>
      </c>
      <c r="H11" s="6" t="s">
        <v>545</v>
      </c>
      <c r="I11" s="6"/>
      <c r="J11" s="6"/>
      <c r="K11" s="11" t="s">
        <v>546</v>
      </c>
    </row>
    <row r="12" spans="1:11" ht="58.5" customHeight="1" x14ac:dyDescent="0.35">
      <c r="A12" s="5">
        <v>12</v>
      </c>
      <c r="B12" s="6" t="s">
        <v>71</v>
      </c>
      <c r="C12" s="7" t="s">
        <v>50</v>
      </c>
      <c r="D12" s="5">
        <v>3</v>
      </c>
      <c r="E12" s="6" t="s">
        <v>102</v>
      </c>
      <c r="F12" s="7" t="s">
        <v>45</v>
      </c>
      <c r="G12" s="5" t="s">
        <v>127</v>
      </c>
      <c r="H12" s="6"/>
      <c r="I12" s="6" t="s">
        <v>547</v>
      </c>
      <c r="J12" s="6" t="s">
        <v>535</v>
      </c>
      <c r="K12" s="8" t="s">
        <v>548</v>
      </c>
    </row>
    <row r="13" spans="1:11" x14ac:dyDescent="0.35">
      <c r="A13" s="5">
        <v>13</v>
      </c>
      <c r="B13" s="6" t="s">
        <v>126</v>
      </c>
      <c r="C13" s="7" t="s">
        <v>50</v>
      </c>
      <c r="D13" s="5">
        <v>2</v>
      </c>
      <c r="E13" s="9" t="s">
        <v>179</v>
      </c>
      <c r="F13" s="7" t="s">
        <v>127</v>
      </c>
      <c r="G13" s="5" t="s">
        <v>127</v>
      </c>
      <c r="H13" s="6"/>
      <c r="I13" s="6"/>
      <c r="J13" s="6"/>
      <c r="K13" s="8"/>
    </row>
    <row r="14" spans="1:11" x14ac:dyDescent="0.35">
      <c r="A14" s="5">
        <v>14</v>
      </c>
      <c r="B14" s="6" t="s">
        <v>256</v>
      </c>
      <c r="C14" s="7" t="s">
        <v>50</v>
      </c>
      <c r="D14" s="5">
        <v>4</v>
      </c>
      <c r="E14" s="6" t="s">
        <v>253</v>
      </c>
      <c r="F14" s="7" t="s">
        <v>127</v>
      </c>
      <c r="G14" s="5" t="s">
        <v>127</v>
      </c>
      <c r="H14" s="6" t="s">
        <v>537</v>
      </c>
      <c r="I14" s="6" t="s">
        <v>540</v>
      </c>
      <c r="J14" s="6"/>
      <c r="K14" s="8"/>
    </row>
    <row r="15" spans="1:11" x14ac:dyDescent="0.35">
      <c r="A15" s="5">
        <v>15</v>
      </c>
      <c r="B15" s="6" t="s">
        <v>269</v>
      </c>
      <c r="C15" s="7" t="s">
        <v>50</v>
      </c>
      <c r="D15" s="5"/>
      <c r="E15" s="6" t="s">
        <v>322</v>
      </c>
      <c r="F15" s="7" t="s">
        <v>127</v>
      </c>
      <c r="G15" s="5" t="s">
        <v>127</v>
      </c>
      <c r="H15" s="6" t="s">
        <v>535</v>
      </c>
      <c r="I15" s="6" t="s">
        <v>538</v>
      </c>
      <c r="J15" s="6"/>
      <c r="K15" s="8" t="s">
        <v>63</v>
      </c>
    </row>
    <row r="16" spans="1:11" ht="71" customHeight="1" x14ac:dyDescent="0.35">
      <c r="A16" s="5">
        <v>16</v>
      </c>
      <c r="B16" s="6" t="s">
        <v>44</v>
      </c>
      <c r="C16" s="7" t="s">
        <v>50</v>
      </c>
      <c r="D16" s="5">
        <v>3</v>
      </c>
      <c r="E16" t="s">
        <v>549</v>
      </c>
      <c r="F16" s="7" t="s">
        <v>45</v>
      </c>
      <c r="G16" s="5" t="s">
        <v>127</v>
      </c>
      <c r="H16" s="6" t="s">
        <v>550</v>
      </c>
      <c r="I16" s="6" t="s">
        <v>551</v>
      </c>
      <c r="J16" s="6"/>
      <c r="K16" s="8" t="s">
        <v>552</v>
      </c>
    </row>
    <row r="17" spans="1:11" ht="134" customHeight="1" x14ac:dyDescent="0.35">
      <c r="A17" s="5">
        <v>17</v>
      </c>
      <c r="B17" s="6" t="s">
        <v>132</v>
      </c>
      <c r="C17" s="7" t="s">
        <v>50</v>
      </c>
      <c r="D17" s="5">
        <v>4</v>
      </c>
      <c r="E17" s="6" t="s">
        <v>129</v>
      </c>
      <c r="F17" s="7" t="s">
        <v>45</v>
      </c>
      <c r="G17" s="5" t="s">
        <v>45</v>
      </c>
      <c r="H17" s="6" t="s">
        <v>550</v>
      </c>
      <c r="I17" s="6" t="s">
        <v>553</v>
      </c>
      <c r="J17" s="6" t="s">
        <v>535</v>
      </c>
      <c r="K17" s="8" t="s">
        <v>554</v>
      </c>
    </row>
    <row r="18" spans="1:11" x14ac:dyDescent="0.35">
      <c r="A18" s="12">
        <v>18</v>
      </c>
      <c r="B18" s="13" t="s">
        <v>555</v>
      </c>
      <c r="C18" s="14" t="s">
        <v>50</v>
      </c>
      <c r="D18" s="12">
        <v>1</v>
      </c>
      <c r="E18" s="13" t="s">
        <v>556</v>
      </c>
      <c r="F18" s="14" t="s">
        <v>127</v>
      </c>
      <c r="G18" s="12" t="s">
        <v>127</v>
      </c>
      <c r="H18" s="13" t="s">
        <v>537</v>
      </c>
      <c r="I18" s="13" t="s">
        <v>538</v>
      </c>
      <c r="J18" s="13"/>
      <c r="K18" s="15"/>
    </row>
    <row r="19" spans="1:11" x14ac:dyDescent="0.35">
      <c r="A19" s="5">
        <v>19</v>
      </c>
      <c r="B19" s="6" t="s">
        <v>557</v>
      </c>
      <c r="C19" s="7" t="s">
        <v>50</v>
      </c>
      <c r="D19" s="16">
        <v>2</v>
      </c>
      <c r="E19" s="17" t="s">
        <v>558</v>
      </c>
      <c r="F19" s="7" t="s">
        <v>127</v>
      </c>
      <c r="G19" s="5" t="s">
        <v>127</v>
      </c>
      <c r="H19" s="6"/>
      <c r="I19" s="6"/>
      <c r="J19" s="6"/>
      <c r="K19" s="8"/>
    </row>
    <row r="20" spans="1:11" x14ac:dyDescent="0.35">
      <c r="A20" s="5">
        <v>20</v>
      </c>
      <c r="B20" s="6" t="s">
        <v>559</v>
      </c>
      <c r="C20" s="18" t="s">
        <v>50</v>
      </c>
      <c r="D20" s="5">
        <v>3</v>
      </c>
      <c r="E20" s="9" t="s">
        <v>342</v>
      </c>
      <c r="F20" s="19" t="s">
        <v>127</v>
      </c>
      <c r="G20" s="5" t="s">
        <v>127</v>
      </c>
      <c r="H20" s="6"/>
      <c r="I20" s="6"/>
      <c r="J20" s="6"/>
      <c r="K20" s="8"/>
    </row>
    <row r="21" spans="1:11" x14ac:dyDescent="0.35">
      <c r="A21" s="5">
        <v>21</v>
      </c>
      <c r="B21" s="6" t="s">
        <v>560</v>
      </c>
      <c r="C21" s="18" t="s">
        <v>50</v>
      </c>
      <c r="D21" s="5">
        <v>5</v>
      </c>
      <c r="E21" s="9" t="s">
        <v>342</v>
      </c>
      <c r="F21" s="19" t="s">
        <v>127</v>
      </c>
      <c r="G21" s="5" t="s">
        <v>127</v>
      </c>
      <c r="H21" s="6"/>
      <c r="I21" s="6"/>
      <c r="J21" s="6"/>
      <c r="K21" s="8"/>
    </row>
    <row r="22" spans="1:11" x14ac:dyDescent="0.35">
      <c r="A22" s="5">
        <v>22</v>
      </c>
      <c r="B22" s="6" t="s">
        <v>201</v>
      </c>
      <c r="C22" s="7" t="s">
        <v>50</v>
      </c>
      <c r="D22" s="5">
        <v>5</v>
      </c>
      <c r="E22" s="6" t="s">
        <v>195</v>
      </c>
      <c r="F22" s="19" t="s">
        <v>127</v>
      </c>
      <c r="G22" s="5" t="s">
        <v>127</v>
      </c>
      <c r="H22" s="6" t="s">
        <v>550</v>
      </c>
      <c r="I22" s="6" t="s">
        <v>561</v>
      </c>
      <c r="J22" s="6"/>
      <c r="K22" s="6" t="s">
        <v>63</v>
      </c>
    </row>
    <row r="23" spans="1:11" x14ac:dyDescent="0.35">
      <c r="A23" s="5">
        <v>23</v>
      </c>
      <c r="B23" s="6" t="s">
        <v>211</v>
      </c>
      <c r="C23" s="18" t="s">
        <v>50</v>
      </c>
      <c r="D23" s="5">
        <v>2</v>
      </c>
      <c r="E23" s="6" t="s">
        <v>209</v>
      </c>
      <c r="F23" s="19"/>
      <c r="G23" s="5"/>
      <c r="H23" s="6"/>
      <c r="I23" s="6"/>
      <c r="J23" s="6"/>
      <c r="K23" s="8"/>
    </row>
    <row r="24" spans="1:11" ht="60.5" customHeight="1" x14ac:dyDescent="0.35">
      <c r="A24" s="16">
        <v>24</v>
      </c>
      <c r="B24" s="17" t="s">
        <v>233</v>
      </c>
      <c r="C24" s="20" t="s">
        <v>50</v>
      </c>
      <c r="D24" s="16">
        <v>1</v>
      </c>
      <c r="E24" s="17" t="s">
        <v>562</v>
      </c>
      <c r="F24" s="21" t="s">
        <v>127</v>
      </c>
      <c r="G24" s="16" t="s">
        <v>45</v>
      </c>
      <c r="H24" s="17"/>
      <c r="I24" s="17"/>
      <c r="J24" s="17"/>
      <c r="K24" s="8" t="s">
        <v>563</v>
      </c>
    </row>
    <row r="25" spans="1:11" x14ac:dyDescent="0.35">
      <c r="A25" s="5">
        <v>25</v>
      </c>
      <c r="B25" s="6" t="s">
        <v>564</v>
      </c>
      <c r="C25" s="7" t="s">
        <v>50</v>
      </c>
      <c r="D25" s="5">
        <v>2</v>
      </c>
      <c r="E25" s="9" t="s">
        <v>342</v>
      </c>
      <c r="F25" s="7" t="s">
        <v>127</v>
      </c>
      <c r="G25" s="7" t="s">
        <v>127</v>
      </c>
      <c r="H25" s="8"/>
      <c r="I25" s="8"/>
      <c r="J25" s="8"/>
      <c r="K25" s="8"/>
    </row>
    <row r="26" spans="1:11" x14ac:dyDescent="0.35">
      <c r="A26" s="5">
        <v>27</v>
      </c>
      <c r="B26" s="9" t="s">
        <v>565</v>
      </c>
      <c r="C26" s="7" t="s">
        <v>50</v>
      </c>
      <c r="D26" s="5">
        <v>1</v>
      </c>
      <c r="E26" s="9" t="s">
        <v>342</v>
      </c>
      <c r="F26" s="7" t="s">
        <v>127</v>
      </c>
      <c r="G26" s="7" t="s">
        <v>127</v>
      </c>
      <c r="H26" s="8"/>
      <c r="I26" s="8"/>
      <c r="J26" s="8"/>
      <c r="K26" s="8"/>
    </row>
    <row r="27" spans="1:11" x14ac:dyDescent="0.35">
      <c r="A27" s="5">
        <v>28</v>
      </c>
      <c r="B27" s="6" t="s">
        <v>307</v>
      </c>
      <c r="C27" s="7" t="s">
        <v>50</v>
      </c>
      <c r="D27" s="5">
        <v>2</v>
      </c>
      <c r="E27" s="6" t="s">
        <v>566</v>
      </c>
      <c r="F27" s="7" t="s">
        <v>127</v>
      </c>
      <c r="G27" s="5" t="s">
        <v>127</v>
      </c>
      <c r="H27" s="6"/>
      <c r="I27" s="6"/>
      <c r="J27" s="6"/>
      <c r="K27" s="8" t="s">
        <v>63</v>
      </c>
    </row>
    <row r="28" spans="1:11" ht="55.5" customHeight="1" x14ac:dyDescent="0.35">
      <c r="A28" s="5">
        <v>29</v>
      </c>
      <c r="B28" s="6" t="s">
        <v>567</v>
      </c>
      <c r="C28" s="7" t="s">
        <v>50</v>
      </c>
      <c r="D28" s="5">
        <v>2</v>
      </c>
      <c r="E28" s="6" t="s">
        <v>250</v>
      </c>
      <c r="F28" s="7" t="s">
        <v>45</v>
      </c>
      <c r="G28" s="5" t="s">
        <v>127</v>
      </c>
      <c r="H28" s="6"/>
      <c r="I28" s="6"/>
      <c r="J28" s="6"/>
      <c r="K28" s="8" t="s">
        <v>568</v>
      </c>
    </row>
    <row r="29" spans="1:11" ht="68.5" customHeight="1" x14ac:dyDescent="0.35">
      <c r="A29" s="5">
        <v>30</v>
      </c>
      <c r="B29" s="6" t="s">
        <v>569</v>
      </c>
      <c r="C29" s="7" t="s">
        <v>50</v>
      </c>
      <c r="D29" s="5">
        <v>1</v>
      </c>
      <c r="E29" s="6" t="s">
        <v>336</v>
      </c>
      <c r="F29" s="7" t="s">
        <v>45</v>
      </c>
      <c r="G29" s="5" t="s">
        <v>127</v>
      </c>
      <c r="H29" s="6"/>
      <c r="I29" s="6"/>
      <c r="J29" s="6"/>
      <c r="K29" s="8" t="s">
        <v>570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E1CD-DAA0-431D-9009-EB475B3DF8AB}">
  <dimension ref="A1:N19"/>
  <sheetViews>
    <sheetView topLeftCell="A2" workbookViewId="0">
      <selection activeCell="A2" sqref="A2"/>
    </sheetView>
  </sheetViews>
  <sheetFormatPr defaultRowHeight="14.5" x14ac:dyDescent="0.35"/>
  <cols>
    <col min="1" max="1" width="14.81640625" customWidth="1"/>
    <col min="2" max="2" width="16.453125" customWidth="1"/>
    <col min="3" max="3" width="18.81640625" customWidth="1"/>
    <col min="4" max="4" width="19.36328125" customWidth="1"/>
    <col min="5" max="5" width="16" customWidth="1"/>
    <col min="6" max="6" width="17.81640625" customWidth="1"/>
    <col min="7" max="7" width="20" customWidth="1"/>
    <col min="8" max="8" width="14.81640625" customWidth="1"/>
    <col min="9" max="9" width="18.36328125" customWidth="1"/>
    <col min="10" max="10" width="12.26953125" customWidth="1"/>
    <col min="11" max="11" width="14.36328125" customWidth="1"/>
    <col min="12" max="12" width="15.36328125" customWidth="1"/>
    <col min="13" max="13" width="14.6328125" customWidth="1"/>
    <col min="14" max="14" width="18.90625" customWidth="1"/>
  </cols>
  <sheetData>
    <row r="1" spans="1:14" x14ac:dyDescent="0.35">
      <c r="A1" s="24"/>
      <c r="B1" s="24"/>
      <c r="C1" s="314" t="s">
        <v>571</v>
      </c>
      <c r="D1" s="315"/>
      <c r="E1" s="315"/>
      <c r="F1" s="315"/>
      <c r="G1" s="315"/>
      <c r="H1" s="315"/>
      <c r="I1" s="315"/>
      <c r="J1" s="315"/>
      <c r="K1" s="316"/>
      <c r="L1" s="317" t="s">
        <v>572</v>
      </c>
      <c r="M1" s="318"/>
      <c r="N1" s="318"/>
    </row>
    <row r="2" spans="1:14" ht="58" x14ac:dyDescent="0.35">
      <c r="A2" s="24"/>
      <c r="B2" s="24"/>
      <c r="C2" s="25"/>
      <c r="D2" s="319" t="s">
        <v>573</v>
      </c>
      <c r="E2" s="319"/>
      <c r="F2" s="319"/>
      <c r="G2" s="319"/>
      <c r="H2" s="319"/>
      <c r="I2" s="319"/>
      <c r="J2" s="26" t="s">
        <v>574</v>
      </c>
      <c r="K2" s="27"/>
      <c r="L2" s="25"/>
      <c r="M2" s="25"/>
      <c r="N2" s="25"/>
    </row>
    <row r="3" spans="1:14" ht="43.5" x14ac:dyDescent="0.35">
      <c r="A3" s="28" t="s">
        <v>575</v>
      </c>
      <c r="B3" s="28" t="s">
        <v>576</v>
      </c>
      <c r="C3" s="29" t="s">
        <v>577</v>
      </c>
      <c r="D3" s="29" t="s">
        <v>578</v>
      </c>
      <c r="E3" s="29" t="s">
        <v>579</v>
      </c>
      <c r="F3" s="29" t="s">
        <v>580</v>
      </c>
      <c r="G3" s="29" t="s">
        <v>581</v>
      </c>
      <c r="H3" s="29" t="s">
        <v>582</v>
      </c>
      <c r="I3" s="29" t="s">
        <v>583</v>
      </c>
      <c r="J3" s="29" t="s">
        <v>584</v>
      </c>
      <c r="K3" s="30" t="s">
        <v>585</v>
      </c>
      <c r="L3" s="29" t="s">
        <v>586</v>
      </c>
      <c r="M3" s="29" t="s">
        <v>587</v>
      </c>
      <c r="N3" s="29" t="s">
        <v>588</v>
      </c>
    </row>
    <row r="4" spans="1:14" x14ac:dyDescent="0.35">
      <c r="A4" s="24" t="s">
        <v>589</v>
      </c>
      <c r="B4" s="31" t="s">
        <v>590</v>
      </c>
      <c r="C4" s="25" t="s">
        <v>127</v>
      </c>
      <c r="D4" s="25" t="s">
        <v>591</v>
      </c>
      <c r="E4" s="32" t="s">
        <v>63</v>
      </c>
      <c r="F4" s="32" t="s">
        <v>592</v>
      </c>
      <c r="G4" s="25">
        <v>0</v>
      </c>
      <c r="H4" s="25">
        <v>0</v>
      </c>
      <c r="I4" s="32" t="s">
        <v>592</v>
      </c>
      <c r="J4" s="33" t="s">
        <v>63</v>
      </c>
      <c r="K4" s="34" t="s">
        <v>63</v>
      </c>
      <c r="L4" s="25" t="s">
        <v>45</v>
      </c>
      <c r="M4" s="25" t="s">
        <v>591</v>
      </c>
      <c r="N4" s="25">
        <v>10</v>
      </c>
    </row>
    <row r="5" spans="1:14" x14ac:dyDescent="0.35">
      <c r="A5" s="35" t="s">
        <v>589</v>
      </c>
      <c r="B5" s="36" t="s">
        <v>593</v>
      </c>
      <c r="C5" s="37" t="s">
        <v>45</v>
      </c>
      <c r="D5" s="37" t="s">
        <v>594</v>
      </c>
      <c r="E5" s="38" t="s">
        <v>63</v>
      </c>
      <c r="F5" s="38"/>
      <c r="G5" s="37" t="s">
        <v>63</v>
      </c>
      <c r="H5" s="37">
        <v>0</v>
      </c>
      <c r="I5" s="37" t="s">
        <v>63</v>
      </c>
      <c r="J5" s="39" t="s">
        <v>63</v>
      </c>
      <c r="K5" s="40" t="s">
        <v>63</v>
      </c>
      <c r="L5" s="37" t="s">
        <v>45</v>
      </c>
      <c r="M5" s="37" t="s">
        <v>591</v>
      </c>
      <c r="N5" s="37">
        <v>4</v>
      </c>
    </row>
    <row r="6" spans="1:14" x14ac:dyDescent="0.35">
      <c r="A6" s="35" t="s">
        <v>589</v>
      </c>
      <c r="B6" s="36" t="s">
        <v>269</v>
      </c>
      <c r="C6" s="37" t="s">
        <v>127</v>
      </c>
      <c r="D6" s="37" t="s">
        <v>63</v>
      </c>
      <c r="E6" s="38" t="s">
        <v>63</v>
      </c>
      <c r="F6" s="38" t="s">
        <v>63</v>
      </c>
      <c r="G6" s="37" t="s">
        <v>63</v>
      </c>
      <c r="H6" s="37" t="s">
        <v>63</v>
      </c>
      <c r="I6" s="37" t="s">
        <v>63</v>
      </c>
      <c r="J6" s="39" t="s">
        <v>63</v>
      </c>
      <c r="K6" s="40" t="s">
        <v>63</v>
      </c>
      <c r="L6" s="37" t="s">
        <v>127</v>
      </c>
      <c r="M6" s="37" t="s">
        <v>63</v>
      </c>
      <c r="N6" s="37" t="s">
        <v>63</v>
      </c>
    </row>
    <row r="7" spans="1:14" x14ac:dyDescent="0.35">
      <c r="A7" s="35" t="s">
        <v>589</v>
      </c>
      <c r="B7" s="36" t="s">
        <v>595</v>
      </c>
      <c r="C7" s="37" t="s">
        <v>45</v>
      </c>
      <c r="D7" s="37" t="s">
        <v>594</v>
      </c>
      <c r="E7" s="37" t="s">
        <v>594</v>
      </c>
      <c r="F7" s="37" t="s">
        <v>594</v>
      </c>
      <c r="G7" s="37" t="s">
        <v>594</v>
      </c>
      <c r="H7" s="37" t="s">
        <v>594</v>
      </c>
      <c r="I7" s="37" t="s">
        <v>594</v>
      </c>
      <c r="J7" s="39" t="s">
        <v>594</v>
      </c>
      <c r="K7" s="39" t="s">
        <v>594</v>
      </c>
      <c r="L7" s="37" t="s">
        <v>45</v>
      </c>
      <c r="M7" s="37" t="s">
        <v>591</v>
      </c>
      <c r="N7" s="37">
        <v>6</v>
      </c>
    </row>
    <row r="8" spans="1:14" x14ac:dyDescent="0.35">
      <c r="A8" s="35" t="s">
        <v>589</v>
      </c>
      <c r="B8" s="36" t="s">
        <v>596</v>
      </c>
      <c r="C8" s="37" t="s">
        <v>45</v>
      </c>
      <c r="D8" s="25" t="s">
        <v>591</v>
      </c>
      <c r="E8" s="41">
        <v>0.5</v>
      </c>
      <c r="F8" s="38"/>
      <c r="G8" s="37" t="s">
        <v>63</v>
      </c>
      <c r="H8" s="37">
        <v>3</v>
      </c>
      <c r="I8" s="37" t="s">
        <v>63</v>
      </c>
      <c r="J8" s="39" t="s">
        <v>48</v>
      </c>
      <c r="K8" s="40" t="s">
        <v>597</v>
      </c>
      <c r="L8" s="37" t="s">
        <v>45</v>
      </c>
      <c r="M8" s="25" t="s">
        <v>591</v>
      </c>
      <c r="N8" s="37">
        <v>8</v>
      </c>
    </row>
    <row r="9" spans="1:14" ht="29" x14ac:dyDescent="0.35">
      <c r="A9" s="24" t="s">
        <v>59</v>
      </c>
      <c r="B9" s="42" t="s">
        <v>598</v>
      </c>
      <c r="C9" s="43" t="s">
        <v>45</v>
      </c>
      <c r="D9" s="43" t="s">
        <v>591</v>
      </c>
      <c r="E9" s="41" t="s">
        <v>63</v>
      </c>
      <c r="F9" s="43" t="s">
        <v>63</v>
      </c>
      <c r="G9" s="43" t="s">
        <v>63</v>
      </c>
      <c r="H9" s="43">
        <v>1</v>
      </c>
      <c r="I9" s="43" t="s">
        <v>63</v>
      </c>
      <c r="J9" s="44" t="s">
        <v>63</v>
      </c>
      <c r="K9" s="45" t="s">
        <v>63</v>
      </c>
      <c r="L9" s="43" t="s">
        <v>45</v>
      </c>
      <c r="M9" s="43" t="s">
        <v>591</v>
      </c>
      <c r="N9" s="43">
        <v>1</v>
      </c>
    </row>
    <row r="10" spans="1:14" x14ac:dyDescent="0.35">
      <c r="A10" s="24" t="s">
        <v>59</v>
      </c>
      <c r="B10" s="46" t="s">
        <v>126</v>
      </c>
      <c r="C10" s="43" t="s">
        <v>45</v>
      </c>
      <c r="D10" s="47" t="s">
        <v>591</v>
      </c>
      <c r="E10" s="41">
        <v>1</v>
      </c>
      <c r="F10" s="43" t="s">
        <v>63</v>
      </c>
      <c r="G10" s="43" t="s">
        <v>63</v>
      </c>
      <c r="H10" s="43">
        <v>3</v>
      </c>
      <c r="I10" s="43" t="s">
        <v>63</v>
      </c>
      <c r="J10" s="44" t="s">
        <v>599</v>
      </c>
      <c r="K10" s="45" t="s">
        <v>600</v>
      </c>
      <c r="L10" s="43" t="s">
        <v>45</v>
      </c>
      <c r="M10" s="47" t="s">
        <v>591</v>
      </c>
      <c r="N10" s="43">
        <v>3</v>
      </c>
    </row>
    <row r="11" spans="1:14" ht="29" x14ac:dyDescent="0.35">
      <c r="A11" s="24" t="s">
        <v>59</v>
      </c>
      <c r="B11" s="46" t="s">
        <v>601</v>
      </c>
      <c r="C11" s="43" t="s">
        <v>45</v>
      </c>
      <c r="D11" s="47" t="s">
        <v>591</v>
      </c>
      <c r="E11" s="41">
        <v>1</v>
      </c>
      <c r="F11" s="43" t="s">
        <v>63</v>
      </c>
      <c r="G11" s="43" t="s">
        <v>63</v>
      </c>
      <c r="H11" s="43">
        <v>3</v>
      </c>
      <c r="I11" s="43" t="s">
        <v>63</v>
      </c>
      <c r="J11" s="44" t="s">
        <v>599</v>
      </c>
      <c r="K11" s="45" t="s">
        <v>600</v>
      </c>
      <c r="L11" s="43" t="s">
        <v>45</v>
      </c>
      <c r="M11" s="47" t="s">
        <v>591</v>
      </c>
      <c r="N11" s="43">
        <v>3</v>
      </c>
    </row>
    <row r="12" spans="1:14" x14ac:dyDescent="0.35">
      <c r="A12" s="24" t="s">
        <v>59</v>
      </c>
      <c r="B12" s="48" t="s">
        <v>256</v>
      </c>
      <c r="C12" s="43" t="s">
        <v>45</v>
      </c>
      <c r="D12" s="25" t="s">
        <v>591</v>
      </c>
      <c r="E12" s="49">
        <v>0.8</v>
      </c>
      <c r="F12" s="50">
        <v>46199</v>
      </c>
      <c r="G12" s="47" t="s">
        <v>63</v>
      </c>
      <c r="H12" s="43">
        <v>0</v>
      </c>
      <c r="I12" s="47" t="s">
        <v>63</v>
      </c>
      <c r="J12" s="51" t="s">
        <v>253</v>
      </c>
      <c r="K12" s="52" t="s">
        <v>602</v>
      </c>
      <c r="L12" s="43" t="s">
        <v>45</v>
      </c>
      <c r="M12" s="43" t="s">
        <v>591</v>
      </c>
      <c r="N12" s="43">
        <v>12</v>
      </c>
    </row>
    <row r="13" spans="1:14" x14ac:dyDescent="0.35">
      <c r="A13" s="24" t="s">
        <v>59</v>
      </c>
      <c r="B13" s="42" t="s">
        <v>603</v>
      </c>
      <c r="C13" s="43" t="s">
        <v>45</v>
      </c>
      <c r="D13" s="43" t="s">
        <v>591</v>
      </c>
      <c r="E13" s="41">
        <v>0.5</v>
      </c>
      <c r="F13" s="53">
        <v>46233</v>
      </c>
      <c r="G13" s="47" t="s">
        <v>63</v>
      </c>
      <c r="H13" s="43">
        <v>0</v>
      </c>
      <c r="I13" s="47" t="s">
        <v>63</v>
      </c>
      <c r="J13" s="51" t="s">
        <v>604</v>
      </c>
      <c r="K13" s="54">
        <v>9618241586</v>
      </c>
      <c r="L13" s="43" t="s">
        <v>45</v>
      </c>
      <c r="M13" s="43" t="s">
        <v>591</v>
      </c>
      <c r="N13" s="43">
        <v>0</v>
      </c>
    </row>
    <row r="14" spans="1:14" x14ac:dyDescent="0.35">
      <c r="A14" s="25" t="s">
        <v>59</v>
      </c>
      <c r="B14" s="55" t="s">
        <v>605</v>
      </c>
      <c r="C14" s="43" t="s">
        <v>127</v>
      </c>
      <c r="D14" s="43" t="s">
        <v>63</v>
      </c>
      <c r="E14" s="56" t="s">
        <v>63</v>
      </c>
      <c r="F14" s="56" t="s">
        <v>63</v>
      </c>
      <c r="G14" s="47" t="s">
        <v>63</v>
      </c>
      <c r="H14" s="57" t="s">
        <v>63</v>
      </c>
      <c r="I14" s="57" t="s">
        <v>63</v>
      </c>
      <c r="J14" s="58" t="s">
        <v>63</v>
      </c>
      <c r="K14" s="59" t="s">
        <v>63</v>
      </c>
      <c r="L14" s="57" t="s">
        <v>127</v>
      </c>
      <c r="M14" s="57" t="s">
        <v>63</v>
      </c>
      <c r="N14" s="57" t="s">
        <v>63</v>
      </c>
    </row>
    <row r="15" spans="1:14" x14ac:dyDescent="0.35">
      <c r="A15" s="24" t="s">
        <v>59</v>
      </c>
      <c r="B15" s="60" t="s">
        <v>78</v>
      </c>
      <c r="C15" s="43" t="s">
        <v>127</v>
      </c>
      <c r="D15" s="43" t="s">
        <v>63</v>
      </c>
      <c r="E15" s="41" t="s">
        <v>63</v>
      </c>
      <c r="F15" s="41" t="s">
        <v>63</v>
      </c>
      <c r="G15" s="47" t="s">
        <v>63</v>
      </c>
      <c r="H15" s="43" t="s">
        <v>63</v>
      </c>
      <c r="I15" s="61" t="s">
        <v>63</v>
      </c>
      <c r="J15" s="62" t="s">
        <v>63</v>
      </c>
      <c r="K15" s="63" t="s">
        <v>63</v>
      </c>
      <c r="L15" s="43" t="s">
        <v>45</v>
      </c>
      <c r="M15" s="43" t="s">
        <v>591</v>
      </c>
      <c r="N15" s="43">
        <v>3</v>
      </c>
    </row>
    <row r="16" spans="1:14" x14ac:dyDescent="0.35">
      <c r="A16" s="24" t="s">
        <v>59</v>
      </c>
      <c r="B16" s="46" t="s">
        <v>58</v>
      </c>
      <c r="C16" s="43" t="s">
        <v>45</v>
      </c>
      <c r="D16" s="43" t="s">
        <v>45</v>
      </c>
      <c r="E16" s="41">
        <v>1</v>
      </c>
      <c r="F16" s="41" t="s">
        <v>63</v>
      </c>
      <c r="G16" s="47" t="s">
        <v>63</v>
      </c>
      <c r="H16" s="43">
        <v>210</v>
      </c>
      <c r="I16" s="43" t="s">
        <v>606</v>
      </c>
      <c r="J16" s="44" t="s">
        <v>607</v>
      </c>
      <c r="K16" s="45" t="s">
        <v>608</v>
      </c>
      <c r="L16" s="43" t="s">
        <v>127</v>
      </c>
      <c r="M16" s="43" t="s">
        <v>63</v>
      </c>
      <c r="N16" s="43" t="s">
        <v>63</v>
      </c>
    </row>
    <row r="17" spans="1:14" x14ac:dyDescent="0.35">
      <c r="A17" s="24" t="s">
        <v>59</v>
      </c>
      <c r="B17" s="46" t="s">
        <v>609</v>
      </c>
      <c r="C17" s="43" t="s">
        <v>45</v>
      </c>
      <c r="D17" s="43" t="s">
        <v>591</v>
      </c>
      <c r="E17" s="41" t="s">
        <v>63</v>
      </c>
      <c r="F17" s="43" t="s">
        <v>63</v>
      </c>
      <c r="G17" s="43" t="s">
        <v>63</v>
      </c>
      <c r="H17" s="43">
        <v>3</v>
      </c>
      <c r="I17" s="43" t="s">
        <v>63</v>
      </c>
      <c r="J17" s="44" t="s">
        <v>63</v>
      </c>
      <c r="K17" s="45" t="s">
        <v>63</v>
      </c>
      <c r="L17" s="43" t="s">
        <v>127</v>
      </c>
      <c r="M17" s="43" t="s">
        <v>63</v>
      </c>
      <c r="N17" s="43" t="s">
        <v>63</v>
      </c>
    </row>
    <row r="18" spans="1:14" x14ac:dyDescent="0.35">
      <c r="A18" s="64" t="s">
        <v>59</v>
      </c>
      <c r="B18" s="46" t="s">
        <v>610</v>
      </c>
      <c r="C18" s="43" t="s">
        <v>45</v>
      </c>
      <c r="D18" s="43" t="s">
        <v>594</v>
      </c>
      <c r="E18" s="41">
        <v>0.5</v>
      </c>
      <c r="F18" s="53">
        <v>46200</v>
      </c>
      <c r="G18" s="43" t="s">
        <v>63</v>
      </c>
      <c r="H18" s="43" t="s">
        <v>63</v>
      </c>
      <c r="I18" s="53">
        <v>46049</v>
      </c>
      <c r="J18" s="44" t="s">
        <v>611</v>
      </c>
      <c r="K18" s="45" t="s">
        <v>612</v>
      </c>
      <c r="L18" s="43" t="s">
        <v>45</v>
      </c>
      <c r="M18" s="43" t="s">
        <v>591</v>
      </c>
      <c r="N18" s="43">
        <v>9</v>
      </c>
    </row>
    <row r="19" spans="1:14" x14ac:dyDescent="0.35">
      <c r="A19" t="s">
        <v>59</v>
      </c>
      <c r="B19" t="s">
        <v>235</v>
      </c>
      <c r="C19" t="s">
        <v>45</v>
      </c>
      <c r="D19" t="s">
        <v>594</v>
      </c>
      <c r="E19" t="s">
        <v>613</v>
      </c>
      <c r="F19" t="s">
        <v>518</v>
      </c>
      <c r="G19" t="s">
        <v>614</v>
      </c>
      <c r="J19" t="s">
        <v>615</v>
      </c>
      <c r="K19" t="s">
        <v>616</v>
      </c>
    </row>
  </sheetData>
  <mergeCells count="3">
    <mergeCell ref="C1:K1"/>
    <mergeCell ref="L1:N1"/>
    <mergeCell ref="D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7F47-31E1-4308-BF12-244DB87175DA}">
  <dimension ref="A1:E16"/>
  <sheetViews>
    <sheetView workbookViewId="0">
      <selection activeCell="E7" sqref="E7"/>
    </sheetView>
  </sheetViews>
  <sheetFormatPr defaultRowHeight="14.5" x14ac:dyDescent="0.35"/>
  <cols>
    <col min="1" max="2" width="15.08984375" customWidth="1"/>
    <col min="3" max="3" width="15.7265625" customWidth="1"/>
    <col min="4" max="4" width="12.6328125" customWidth="1"/>
    <col min="5" max="5" width="17.1796875" customWidth="1"/>
  </cols>
  <sheetData>
    <row r="1" spans="1:5" x14ac:dyDescent="0.35">
      <c r="A1" s="76" t="s">
        <v>617</v>
      </c>
      <c r="B1" s="76" t="s">
        <v>618</v>
      </c>
      <c r="C1" s="76" t="s">
        <v>619</v>
      </c>
      <c r="D1" s="76" t="s">
        <v>620</v>
      </c>
      <c r="E1" s="76" t="s">
        <v>621</v>
      </c>
    </row>
    <row r="2" spans="1:5" x14ac:dyDescent="0.35">
      <c r="A2" s="320" t="e">
        <f>COUNTIFS([1]Team!L1:L679, "Y")</f>
        <v>#VALUE!</v>
      </c>
      <c r="B2" s="6" t="s">
        <v>622</v>
      </c>
      <c r="C2" s="65" t="e">
        <f>COUNTIFS([1]Team!L1:L679, "Y", [1]Team!U1:U679, "Y")</f>
        <v>#VALUE!</v>
      </c>
      <c r="D2" s="65" t="e">
        <f>COUNTIFS([1]Team!L1:L679, "Y", [1]Team!U1:U679, "N")</f>
        <v>#VALUE!</v>
      </c>
      <c r="E2" s="65" t="e">
        <f>COUNTIFS([1]Team!L1:L679, "Y", [1]Team!U1:U679, "N/A")</f>
        <v>#VALUE!</v>
      </c>
    </row>
    <row r="3" spans="1:5" x14ac:dyDescent="0.35">
      <c r="A3" s="320"/>
      <c r="B3" s="6" t="s">
        <v>515</v>
      </c>
      <c r="C3" s="65" t="e">
        <f>COUNTIFS([1]Team!L1:L679, "Y", [1]Team!V1:V679, "Y")</f>
        <v>#VALUE!</v>
      </c>
      <c r="D3" s="65" t="e">
        <f>COUNTIFS([1]Team!L1:L679, "Y", [1]Team!V1:V679, "N")</f>
        <v>#VALUE!</v>
      </c>
      <c r="E3" s="65" t="e">
        <f>COUNTIFS([1]Team!L1:L679, "Y", [1]Team!V1:V679, "N/A")</f>
        <v>#VALUE!</v>
      </c>
    </row>
    <row r="4" spans="1:5" x14ac:dyDescent="0.35">
      <c r="A4" s="320"/>
      <c r="B4" s="6" t="s">
        <v>623</v>
      </c>
      <c r="C4" s="65" t="e">
        <f>COUNTIFS([1]Team!L1:L679, "Y", [1]Team!AB1:AB679, "Y")</f>
        <v>#VALUE!</v>
      </c>
      <c r="D4" s="65" t="e">
        <f>COUNTIFS([1]Team!L1:L679, "Y", [1]Team!AB1:AB679, "N")</f>
        <v>#VALUE!</v>
      </c>
      <c r="E4" s="65" t="e">
        <f>COUNTIFS([1]Team!L1:L679, "Y", [1]Team!AB1:AB679, "N/A")</f>
        <v>#VALUE!</v>
      </c>
    </row>
    <row r="6" spans="1:5" x14ac:dyDescent="0.35">
      <c r="A6" t="s">
        <v>624</v>
      </c>
      <c r="B6" s="66"/>
      <c r="C6" s="67" t="s">
        <v>619</v>
      </c>
      <c r="D6" s="67" t="s">
        <v>620</v>
      </c>
      <c r="E6" s="6"/>
    </row>
    <row r="7" spans="1:5" x14ac:dyDescent="0.35">
      <c r="B7" s="6" t="s">
        <v>625</v>
      </c>
      <c r="C7" s="68">
        <v>36</v>
      </c>
      <c r="D7" s="68">
        <v>38</v>
      </c>
      <c r="E7" s="6"/>
    </row>
    <row r="9" spans="1:5" x14ac:dyDescent="0.35">
      <c r="A9" s="321" t="s">
        <v>626</v>
      </c>
      <c r="B9" s="321"/>
      <c r="C9" s="321"/>
      <c r="D9" t="s">
        <v>627</v>
      </c>
    </row>
    <row r="10" spans="1:5" x14ac:dyDescent="0.35">
      <c r="A10" s="69"/>
      <c r="B10" s="69" t="s">
        <v>36</v>
      </c>
      <c r="C10" s="69" t="s">
        <v>628</v>
      </c>
    </row>
    <row r="11" spans="1:5" x14ac:dyDescent="0.35">
      <c r="A11" s="70" t="s">
        <v>629</v>
      </c>
      <c r="B11" s="322">
        <v>74</v>
      </c>
      <c r="C11" s="322"/>
    </row>
    <row r="12" spans="1:5" x14ac:dyDescent="0.35">
      <c r="A12" s="71" t="s">
        <v>630</v>
      </c>
      <c r="B12" s="72">
        <v>61</v>
      </c>
      <c r="C12" s="71">
        <v>6</v>
      </c>
    </row>
    <row r="13" spans="1:5" x14ac:dyDescent="0.35">
      <c r="A13" s="71" t="s">
        <v>631</v>
      </c>
      <c r="B13" s="73" t="e">
        <f>COUNTIFS([1]Team!L1:L679, "Y")</f>
        <v>#VALUE!</v>
      </c>
      <c r="C13" s="71">
        <v>6</v>
      </c>
    </row>
    <row r="14" spans="1:5" x14ac:dyDescent="0.35">
      <c r="A14" s="71" t="s">
        <v>632</v>
      </c>
      <c r="B14" s="73" t="e">
        <f>COUNTIFS([1]Team!L1:L679, "N")</f>
        <v>#VALUE!</v>
      </c>
      <c r="C14" s="71"/>
    </row>
    <row r="15" spans="1:5" x14ac:dyDescent="0.35">
      <c r="A15" s="74" t="s">
        <v>633</v>
      </c>
      <c r="B15" s="75">
        <v>26</v>
      </c>
      <c r="C15" s="74">
        <v>6</v>
      </c>
    </row>
    <row r="16" spans="1:5" x14ac:dyDescent="0.35">
      <c r="A16" s="71" t="s">
        <v>634</v>
      </c>
      <c r="B16" s="72">
        <f>B12-B15</f>
        <v>35</v>
      </c>
      <c r="C16" s="71" t="s">
        <v>635</v>
      </c>
    </row>
  </sheetData>
  <mergeCells count="3">
    <mergeCell ref="A2:A4"/>
    <mergeCell ref="A9:C9"/>
    <mergeCell ref="B11:C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A364-8990-40E5-B7D4-29CBC82B39AB}">
  <dimension ref="A1:C11"/>
  <sheetViews>
    <sheetView workbookViewId="0">
      <selection activeCell="F16" sqref="F16"/>
    </sheetView>
  </sheetViews>
  <sheetFormatPr defaultRowHeight="14.5" x14ac:dyDescent="0.35"/>
  <cols>
    <col min="1" max="1" width="14.54296875" customWidth="1"/>
    <col min="2" max="2" width="12.54296875" customWidth="1"/>
    <col min="3" max="3" width="15.36328125" customWidth="1"/>
  </cols>
  <sheetData>
    <row r="1" spans="1:3" x14ac:dyDescent="0.35">
      <c r="A1" t="s">
        <v>636</v>
      </c>
      <c r="B1" t="s">
        <v>637</v>
      </c>
    </row>
    <row r="2" spans="1:3" x14ac:dyDescent="0.35">
      <c r="A2" t="s">
        <v>638</v>
      </c>
      <c r="B2" t="s">
        <v>50</v>
      </c>
      <c r="C2" t="s">
        <v>639</v>
      </c>
    </row>
    <row r="3" spans="1:3" x14ac:dyDescent="0.35">
      <c r="A3" s="80" t="s">
        <v>36</v>
      </c>
      <c r="B3" s="78">
        <v>84</v>
      </c>
      <c r="C3" s="78">
        <v>84</v>
      </c>
    </row>
    <row r="4" spans="1:3" x14ac:dyDescent="0.35">
      <c r="A4" s="82" t="s">
        <v>56</v>
      </c>
      <c r="B4" s="78">
        <v>33</v>
      </c>
      <c r="C4" s="78">
        <v>33</v>
      </c>
    </row>
    <row r="5" spans="1:3" x14ac:dyDescent="0.35">
      <c r="A5" s="82" t="s">
        <v>38</v>
      </c>
      <c r="B5" s="78">
        <v>3</v>
      </c>
      <c r="C5" s="78">
        <v>3</v>
      </c>
    </row>
    <row r="6" spans="1:3" x14ac:dyDescent="0.35">
      <c r="A6" s="82" t="s">
        <v>106</v>
      </c>
      <c r="B6" s="78">
        <v>5</v>
      </c>
      <c r="C6" s="78">
        <v>5</v>
      </c>
    </row>
    <row r="7" spans="1:3" x14ac:dyDescent="0.35">
      <c r="A7" s="82" t="s">
        <v>51</v>
      </c>
      <c r="B7" s="78">
        <v>29</v>
      </c>
      <c r="C7" s="78">
        <v>29</v>
      </c>
    </row>
    <row r="8" spans="1:3" x14ac:dyDescent="0.35">
      <c r="A8" s="82" t="s">
        <v>82</v>
      </c>
      <c r="B8" s="78">
        <v>1</v>
      </c>
      <c r="C8" s="78">
        <v>1</v>
      </c>
    </row>
    <row r="9" spans="1:3" x14ac:dyDescent="0.35">
      <c r="A9" s="82" t="s">
        <v>101</v>
      </c>
      <c r="B9" s="78">
        <v>9</v>
      </c>
      <c r="C9" s="78">
        <v>9</v>
      </c>
    </row>
    <row r="10" spans="1:3" x14ac:dyDescent="0.35">
      <c r="A10" s="82" t="s">
        <v>197</v>
      </c>
      <c r="B10" s="78">
        <v>4</v>
      </c>
      <c r="C10" s="78">
        <v>4</v>
      </c>
    </row>
    <row r="11" spans="1:3" x14ac:dyDescent="0.35">
      <c r="A11" s="80" t="s">
        <v>639</v>
      </c>
      <c r="B11" s="78">
        <v>84</v>
      </c>
      <c r="C11" s="78">
        <v>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EBFD-3CC4-4AD2-9206-C7DF5909D854}">
  <dimension ref="A1:F66"/>
  <sheetViews>
    <sheetView workbookViewId="0">
      <selection activeCell="E10" sqref="E10"/>
    </sheetView>
  </sheetViews>
  <sheetFormatPr defaultRowHeight="14.5" x14ac:dyDescent="0.35"/>
  <cols>
    <col min="1" max="1" width="13.54296875" customWidth="1"/>
    <col min="2" max="2" width="13.90625" customWidth="1"/>
    <col min="3" max="3" width="14.1796875" customWidth="1"/>
    <col min="4" max="4" width="14.26953125" customWidth="1"/>
  </cols>
  <sheetData>
    <row r="1" spans="1:4" x14ac:dyDescent="0.35">
      <c r="A1" s="77" t="s">
        <v>640</v>
      </c>
    </row>
    <row r="2" spans="1:4" x14ac:dyDescent="0.35">
      <c r="A2" s="78" t="s">
        <v>641</v>
      </c>
      <c r="B2" s="78" t="s">
        <v>637</v>
      </c>
      <c r="C2" s="78"/>
      <c r="D2" s="78"/>
    </row>
    <row r="3" spans="1:4" x14ac:dyDescent="0.35">
      <c r="A3" s="78" t="s">
        <v>638</v>
      </c>
      <c r="B3" s="78" t="s">
        <v>127</v>
      </c>
      <c r="C3" s="78" t="s">
        <v>45</v>
      </c>
      <c r="D3" s="78" t="s">
        <v>639</v>
      </c>
    </row>
    <row r="4" spans="1:4" x14ac:dyDescent="0.35">
      <c r="A4" s="78" t="s">
        <v>40</v>
      </c>
      <c r="B4" s="78">
        <v>2</v>
      </c>
      <c r="C4" s="78">
        <v>16</v>
      </c>
      <c r="D4" s="78">
        <v>18</v>
      </c>
    </row>
    <row r="5" spans="1:4" x14ac:dyDescent="0.35">
      <c r="A5" s="78" t="s">
        <v>75</v>
      </c>
      <c r="B5" s="78"/>
      <c r="C5" s="78">
        <v>2</v>
      </c>
      <c r="D5" s="78">
        <v>2</v>
      </c>
    </row>
    <row r="6" spans="1:4" x14ac:dyDescent="0.35">
      <c r="A6" s="78" t="s">
        <v>110</v>
      </c>
      <c r="B6" s="78"/>
      <c r="C6" s="78">
        <v>2</v>
      </c>
      <c r="D6" s="78">
        <v>2</v>
      </c>
    </row>
    <row r="7" spans="1:4" x14ac:dyDescent="0.35">
      <c r="A7" s="78" t="s">
        <v>58</v>
      </c>
      <c r="B7" s="78"/>
      <c r="C7" s="78">
        <v>4</v>
      </c>
      <c r="D7" s="78">
        <v>4</v>
      </c>
    </row>
    <row r="8" spans="1:4" x14ac:dyDescent="0.35">
      <c r="A8" s="78" t="s">
        <v>95</v>
      </c>
      <c r="B8" s="78"/>
      <c r="C8" s="78">
        <v>1</v>
      </c>
      <c r="D8" s="78">
        <v>1</v>
      </c>
    </row>
    <row r="9" spans="1:4" x14ac:dyDescent="0.35">
      <c r="A9" s="78" t="s">
        <v>113</v>
      </c>
      <c r="B9" s="78"/>
      <c r="C9" s="78">
        <v>2</v>
      </c>
      <c r="D9" s="78">
        <v>2</v>
      </c>
    </row>
    <row r="10" spans="1:4" x14ac:dyDescent="0.35">
      <c r="A10" s="78" t="s">
        <v>374</v>
      </c>
      <c r="B10" s="78"/>
      <c r="C10" s="78">
        <v>3</v>
      </c>
      <c r="D10" s="78">
        <v>3</v>
      </c>
    </row>
    <row r="11" spans="1:4" x14ac:dyDescent="0.35">
      <c r="A11" s="78" t="s">
        <v>123</v>
      </c>
      <c r="B11" s="78"/>
      <c r="C11" s="78">
        <v>4</v>
      </c>
      <c r="D11" s="78">
        <v>4</v>
      </c>
    </row>
    <row r="12" spans="1:4" x14ac:dyDescent="0.35">
      <c r="A12" s="78" t="s">
        <v>86</v>
      </c>
      <c r="B12" s="78"/>
      <c r="C12" s="78">
        <v>6</v>
      </c>
      <c r="D12" s="78">
        <v>6</v>
      </c>
    </row>
    <row r="13" spans="1:4" x14ac:dyDescent="0.35">
      <c r="A13" s="78" t="s">
        <v>174</v>
      </c>
      <c r="B13" s="78"/>
      <c r="C13" s="78">
        <v>1</v>
      </c>
      <c r="D13" s="78">
        <v>1</v>
      </c>
    </row>
    <row r="14" spans="1:4" x14ac:dyDescent="0.35">
      <c r="A14" s="78" t="s">
        <v>211</v>
      </c>
      <c r="B14" s="78">
        <v>1</v>
      </c>
      <c r="C14" s="78"/>
      <c r="D14" s="78">
        <v>1</v>
      </c>
    </row>
    <row r="15" spans="1:4" x14ac:dyDescent="0.35">
      <c r="A15" s="78" t="s">
        <v>219</v>
      </c>
      <c r="B15" s="78">
        <v>2</v>
      </c>
      <c r="C15" s="78"/>
      <c r="D15" s="78">
        <v>2</v>
      </c>
    </row>
    <row r="16" spans="1:4" x14ac:dyDescent="0.35">
      <c r="A16" s="78" t="s">
        <v>228</v>
      </c>
      <c r="B16" s="78">
        <v>1</v>
      </c>
      <c r="C16" s="78"/>
      <c r="D16" s="78">
        <v>1</v>
      </c>
    </row>
    <row r="17" spans="1:5" x14ac:dyDescent="0.35">
      <c r="A17" s="78" t="s">
        <v>639</v>
      </c>
      <c r="B17" s="78">
        <v>6</v>
      </c>
      <c r="C17" s="78">
        <v>41</v>
      </c>
      <c r="D17" s="78">
        <v>47</v>
      </c>
    </row>
    <row r="18" spans="1:5" x14ac:dyDescent="0.35">
      <c r="D18" t="s">
        <v>424</v>
      </c>
    </row>
    <row r="19" spans="1:5" x14ac:dyDescent="0.35">
      <c r="A19" t="s">
        <v>642</v>
      </c>
    </row>
    <row r="22" spans="1:5" x14ac:dyDescent="0.35">
      <c r="A22" s="77" t="s">
        <v>643</v>
      </c>
    </row>
    <row r="23" spans="1:5" x14ac:dyDescent="0.35">
      <c r="A23" s="78" t="s">
        <v>641</v>
      </c>
      <c r="B23" s="78" t="s">
        <v>637</v>
      </c>
      <c r="C23" s="78"/>
      <c r="D23" s="78"/>
      <c r="E23" s="78"/>
    </row>
    <row r="24" spans="1:5" x14ac:dyDescent="0.35">
      <c r="A24" s="78" t="s">
        <v>638</v>
      </c>
      <c r="B24" s="78" t="s">
        <v>83</v>
      </c>
      <c r="C24" s="78" t="s">
        <v>246</v>
      </c>
      <c r="D24" s="78" t="s">
        <v>61</v>
      </c>
      <c r="E24" s="78" t="s">
        <v>639</v>
      </c>
    </row>
    <row r="25" spans="1:5" x14ac:dyDescent="0.35">
      <c r="A25" s="78" t="s">
        <v>40</v>
      </c>
      <c r="B25" s="78">
        <v>11</v>
      </c>
      <c r="C25" s="78">
        <v>7</v>
      </c>
      <c r="D25" s="78"/>
      <c r="E25" s="78">
        <v>18</v>
      </c>
    </row>
    <row r="26" spans="1:5" x14ac:dyDescent="0.35">
      <c r="A26" s="78" t="s">
        <v>75</v>
      </c>
      <c r="B26" s="78">
        <v>2</v>
      </c>
      <c r="C26" s="78"/>
      <c r="D26" s="78"/>
      <c r="E26" s="78">
        <v>2</v>
      </c>
    </row>
    <row r="27" spans="1:5" x14ac:dyDescent="0.35">
      <c r="A27" s="78" t="s">
        <v>110</v>
      </c>
      <c r="B27" s="78">
        <v>2</v>
      </c>
      <c r="C27" s="78"/>
      <c r="D27" s="78"/>
      <c r="E27" s="78">
        <v>2</v>
      </c>
    </row>
    <row r="28" spans="1:5" x14ac:dyDescent="0.35">
      <c r="A28" s="78" t="s">
        <v>58</v>
      </c>
      <c r="B28" s="78">
        <v>4</v>
      </c>
      <c r="C28" s="78"/>
      <c r="D28" s="78"/>
      <c r="E28" s="78">
        <v>4</v>
      </c>
    </row>
    <row r="29" spans="1:5" x14ac:dyDescent="0.35">
      <c r="A29" s="78" t="s">
        <v>95</v>
      </c>
      <c r="B29" s="78">
        <v>1</v>
      </c>
      <c r="C29" s="78"/>
      <c r="D29" s="78"/>
      <c r="E29" s="78">
        <v>1</v>
      </c>
    </row>
    <row r="30" spans="1:5" x14ac:dyDescent="0.35">
      <c r="A30" s="78" t="s">
        <v>113</v>
      </c>
      <c r="B30" s="78">
        <v>1</v>
      </c>
      <c r="C30" s="78">
        <v>1</v>
      </c>
      <c r="D30" s="78"/>
      <c r="E30" s="78">
        <v>2</v>
      </c>
    </row>
    <row r="31" spans="1:5" x14ac:dyDescent="0.35">
      <c r="A31" s="78" t="s">
        <v>374</v>
      </c>
      <c r="B31" s="78">
        <v>1</v>
      </c>
      <c r="C31" s="78">
        <v>2</v>
      </c>
      <c r="D31" s="78"/>
      <c r="E31" s="78">
        <v>3</v>
      </c>
    </row>
    <row r="32" spans="1:5" x14ac:dyDescent="0.35">
      <c r="A32" s="78" t="s">
        <v>123</v>
      </c>
      <c r="B32" s="78"/>
      <c r="C32" s="78">
        <v>3</v>
      </c>
      <c r="D32" s="78">
        <v>1</v>
      </c>
      <c r="E32" s="78">
        <v>4</v>
      </c>
    </row>
    <row r="33" spans="1:5" x14ac:dyDescent="0.35">
      <c r="A33" s="78" t="s">
        <v>86</v>
      </c>
      <c r="B33" s="78">
        <v>2</v>
      </c>
      <c r="C33" s="78">
        <v>4</v>
      </c>
      <c r="D33" s="78"/>
      <c r="E33" s="78">
        <v>6</v>
      </c>
    </row>
    <row r="34" spans="1:5" x14ac:dyDescent="0.35">
      <c r="A34" s="78" t="s">
        <v>174</v>
      </c>
      <c r="B34" s="78"/>
      <c r="C34" s="78">
        <v>1</v>
      </c>
      <c r="D34" s="78"/>
      <c r="E34" s="78">
        <v>1</v>
      </c>
    </row>
    <row r="35" spans="1:5" x14ac:dyDescent="0.35">
      <c r="A35" s="78" t="s">
        <v>211</v>
      </c>
      <c r="B35" s="78"/>
      <c r="C35" s="78">
        <v>1</v>
      </c>
      <c r="D35" s="78"/>
      <c r="E35" s="78">
        <v>1</v>
      </c>
    </row>
    <row r="36" spans="1:5" x14ac:dyDescent="0.35">
      <c r="A36" s="78" t="s">
        <v>219</v>
      </c>
      <c r="B36" s="78"/>
      <c r="C36" s="78">
        <v>2</v>
      </c>
      <c r="D36" s="78"/>
      <c r="E36" s="78">
        <v>2</v>
      </c>
    </row>
    <row r="37" spans="1:5" x14ac:dyDescent="0.35">
      <c r="A37" s="78" t="s">
        <v>228</v>
      </c>
      <c r="B37" s="78"/>
      <c r="C37" s="78">
        <v>1</v>
      </c>
      <c r="D37" s="78"/>
      <c r="E37" s="78">
        <v>1</v>
      </c>
    </row>
    <row r="38" spans="1:5" x14ac:dyDescent="0.35">
      <c r="A38" s="78" t="s">
        <v>639</v>
      </c>
      <c r="B38" s="78">
        <v>24</v>
      </c>
      <c r="C38" s="78">
        <v>22</v>
      </c>
      <c r="D38" s="78">
        <v>1</v>
      </c>
      <c r="E38" s="78">
        <v>47</v>
      </c>
    </row>
    <row r="41" spans="1:5" x14ac:dyDescent="0.35">
      <c r="A41" s="78" t="s">
        <v>644</v>
      </c>
      <c r="B41" t="s">
        <v>645</v>
      </c>
    </row>
    <row r="42" spans="1:5" x14ac:dyDescent="0.35">
      <c r="B42" t="s">
        <v>646</v>
      </c>
    </row>
    <row r="43" spans="1:5" x14ac:dyDescent="0.35">
      <c r="B43" t="s">
        <v>647</v>
      </c>
    </row>
    <row r="44" spans="1:5" x14ac:dyDescent="0.35">
      <c r="B44" t="s">
        <v>648</v>
      </c>
    </row>
    <row r="49" spans="1:6" x14ac:dyDescent="0.35">
      <c r="A49" s="79" t="s">
        <v>649</v>
      </c>
    </row>
    <row r="50" spans="1:6" x14ac:dyDescent="0.35">
      <c r="A50" t="s">
        <v>641</v>
      </c>
      <c r="B50" t="s">
        <v>637</v>
      </c>
    </row>
    <row r="51" spans="1:6" x14ac:dyDescent="0.35">
      <c r="A51" t="s">
        <v>638</v>
      </c>
      <c r="B51" t="s">
        <v>650</v>
      </c>
      <c r="C51" t="s">
        <v>36</v>
      </c>
      <c r="D51" t="s">
        <v>651</v>
      </c>
      <c r="E51" t="s">
        <v>652</v>
      </c>
      <c r="F51" t="s">
        <v>639</v>
      </c>
    </row>
    <row r="52" spans="1:6" x14ac:dyDescent="0.35">
      <c r="A52" s="80" t="s">
        <v>653</v>
      </c>
      <c r="B52">
        <v>5</v>
      </c>
      <c r="C52">
        <v>14</v>
      </c>
      <c r="D52">
        <v>1</v>
      </c>
      <c r="F52">
        <v>20</v>
      </c>
    </row>
    <row r="53" spans="1:6" x14ac:dyDescent="0.35">
      <c r="A53" s="80" t="s">
        <v>654</v>
      </c>
      <c r="C53">
        <v>8</v>
      </c>
      <c r="F53">
        <v>8</v>
      </c>
    </row>
    <row r="54" spans="1:6" x14ac:dyDescent="0.35">
      <c r="A54" s="80" t="s">
        <v>655</v>
      </c>
      <c r="B54">
        <v>1</v>
      </c>
      <c r="C54">
        <v>29</v>
      </c>
      <c r="D54">
        <v>5</v>
      </c>
      <c r="F54">
        <v>35</v>
      </c>
    </row>
    <row r="55" spans="1:6" x14ac:dyDescent="0.35">
      <c r="A55" s="80" t="s">
        <v>652</v>
      </c>
    </row>
    <row r="56" spans="1:6" x14ac:dyDescent="0.35">
      <c r="A56" s="80" t="s">
        <v>639</v>
      </c>
      <c r="B56">
        <v>6</v>
      </c>
      <c r="C56">
        <v>51</v>
      </c>
      <c r="D56">
        <v>6</v>
      </c>
      <c r="F56">
        <v>63</v>
      </c>
    </row>
    <row r="59" spans="1:6" x14ac:dyDescent="0.35">
      <c r="A59" s="70" t="s">
        <v>656</v>
      </c>
      <c r="B59" s="71"/>
      <c r="C59" s="71"/>
      <c r="D59" s="71"/>
      <c r="E59" s="71"/>
    </row>
    <row r="60" spans="1:6" x14ac:dyDescent="0.35">
      <c r="A60" s="70" t="s">
        <v>657</v>
      </c>
      <c r="B60" s="70" t="s">
        <v>618</v>
      </c>
      <c r="C60" s="70" t="s">
        <v>619</v>
      </c>
      <c r="D60" s="70" t="s">
        <v>620</v>
      </c>
      <c r="E60" s="70" t="s">
        <v>621</v>
      </c>
      <c r="F60" s="77"/>
    </row>
    <row r="61" spans="1:6" x14ac:dyDescent="0.35">
      <c r="A61" s="323">
        <v>38</v>
      </c>
      <c r="B61" s="71" t="s">
        <v>622</v>
      </c>
      <c r="C61" s="71">
        <v>12</v>
      </c>
      <c r="D61" s="71">
        <v>23</v>
      </c>
      <c r="E61" s="71">
        <v>3</v>
      </c>
    </row>
    <row r="62" spans="1:6" x14ac:dyDescent="0.35">
      <c r="A62" s="324"/>
      <c r="B62" s="71" t="s">
        <v>515</v>
      </c>
      <c r="C62" s="71">
        <v>9</v>
      </c>
      <c r="D62" s="71">
        <v>14</v>
      </c>
      <c r="E62" s="71">
        <v>14</v>
      </c>
    </row>
    <row r="63" spans="1:6" x14ac:dyDescent="0.35">
      <c r="A63" s="325"/>
      <c r="B63" s="71" t="s">
        <v>623</v>
      </c>
      <c r="C63" s="71">
        <v>27</v>
      </c>
      <c r="D63" s="71">
        <v>7</v>
      </c>
      <c r="E63" s="71">
        <v>4</v>
      </c>
    </row>
    <row r="64" spans="1:6" x14ac:dyDescent="0.35">
      <c r="C64" s="81">
        <f>C63/(C63+D63)</f>
        <v>0.79411764705882348</v>
      </c>
    </row>
    <row r="65" spans="3:3" x14ac:dyDescent="0.35">
      <c r="C65" s="81">
        <f>C62/(C62+D62)</f>
        <v>0.39130434782608697</v>
      </c>
    </row>
    <row r="66" spans="3:3" x14ac:dyDescent="0.35">
      <c r="C66" s="81">
        <f>C61/(C61+D61)</f>
        <v>0.34285714285714286</v>
      </c>
    </row>
  </sheetData>
  <mergeCells count="1">
    <mergeCell ref="A61:A6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B844-B58A-47D4-A9E3-57133807B2AD}">
  <dimension ref="A1:B16"/>
  <sheetViews>
    <sheetView workbookViewId="0">
      <selection activeCell="H7" sqref="H7"/>
    </sheetView>
  </sheetViews>
  <sheetFormatPr defaultRowHeight="14.5" x14ac:dyDescent="0.35"/>
  <cols>
    <col min="1" max="1" width="18.08984375" customWidth="1"/>
    <col min="2" max="2" width="16.90625" customWidth="1"/>
  </cols>
  <sheetData>
    <row r="1" spans="1:2" x14ac:dyDescent="0.35">
      <c r="A1" t="s">
        <v>4</v>
      </c>
      <c r="B1" t="s">
        <v>658</v>
      </c>
    </row>
    <row r="3" spans="1:2" x14ac:dyDescent="0.35">
      <c r="A3" t="s">
        <v>638</v>
      </c>
      <c r="B3" t="s">
        <v>659</v>
      </c>
    </row>
    <row r="4" spans="1:2" x14ac:dyDescent="0.35">
      <c r="A4" s="80" t="s">
        <v>92</v>
      </c>
      <c r="B4">
        <v>1</v>
      </c>
    </row>
    <row r="5" spans="1:2" x14ac:dyDescent="0.35">
      <c r="A5" s="80" t="s">
        <v>52</v>
      </c>
      <c r="B5">
        <v>25</v>
      </c>
    </row>
    <row r="6" spans="1:2" x14ac:dyDescent="0.35">
      <c r="A6" s="80" t="s">
        <v>135</v>
      </c>
      <c r="B6">
        <v>32</v>
      </c>
    </row>
    <row r="7" spans="1:2" x14ac:dyDescent="0.35">
      <c r="A7" s="80" t="s">
        <v>149</v>
      </c>
      <c r="B7">
        <v>4</v>
      </c>
    </row>
    <row r="8" spans="1:2" x14ac:dyDescent="0.35">
      <c r="A8" s="80" t="s">
        <v>166</v>
      </c>
      <c r="B8">
        <v>3</v>
      </c>
    </row>
    <row r="9" spans="1:2" x14ac:dyDescent="0.35">
      <c r="A9" s="80" t="s">
        <v>122</v>
      </c>
      <c r="B9">
        <v>4</v>
      </c>
    </row>
    <row r="10" spans="1:2" x14ac:dyDescent="0.35">
      <c r="A10" s="80" t="s">
        <v>391</v>
      </c>
      <c r="B10">
        <v>1</v>
      </c>
    </row>
    <row r="11" spans="1:2" x14ac:dyDescent="0.35">
      <c r="A11" s="80" t="s">
        <v>406</v>
      </c>
      <c r="B11">
        <v>1</v>
      </c>
    </row>
    <row r="12" spans="1:2" x14ac:dyDescent="0.35">
      <c r="A12" s="80" t="s">
        <v>357</v>
      </c>
      <c r="B12">
        <v>1</v>
      </c>
    </row>
    <row r="13" spans="1:2" x14ac:dyDescent="0.35">
      <c r="A13" s="80" t="s">
        <v>410</v>
      </c>
      <c r="B13">
        <v>1</v>
      </c>
    </row>
    <row r="14" spans="1:2" x14ac:dyDescent="0.35">
      <c r="A14" s="80" t="s">
        <v>157</v>
      </c>
      <c r="B14">
        <v>4</v>
      </c>
    </row>
    <row r="15" spans="1:2" x14ac:dyDescent="0.35">
      <c r="A15" s="80" t="s">
        <v>39</v>
      </c>
      <c r="B15">
        <v>27</v>
      </c>
    </row>
    <row r="16" spans="1:2" x14ac:dyDescent="0.35">
      <c r="A16" s="80" t="s">
        <v>639</v>
      </c>
      <c r="B16">
        <v>104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E60F-AB76-498A-B48D-3B9A72A50B62}">
  <dimension ref="A1:C9"/>
  <sheetViews>
    <sheetView workbookViewId="0">
      <selection activeCell="B5" sqref="B5"/>
    </sheetView>
  </sheetViews>
  <sheetFormatPr defaultRowHeight="14.5" x14ac:dyDescent="0.35"/>
  <cols>
    <col min="1" max="1" width="23.36328125" customWidth="1"/>
    <col min="2" max="3" width="26.26953125" customWidth="1"/>
  </cols>
  <sheetData>
    <row r="1" spans="1:3" x14ac:dyDescent="0.35">
      <c r="A1" s="291" t="s">
        <v>12</v>
      </c>
      <c r="B1" s="291" t="s">
        <v>660</v>
      </c>
      <c r="C1" s="291" t="s">
        <v>661</v>
      </c>
    </row>
    <row r="2" spans="1:3" ht="29" x14ac:dyDescent="0.35">
      <c r="A2" s="292" t="s">
        <v>198</v>
      </c>
      <c r="B2" s="293" t="s">
        <v>662</v>
      </c>
      <c r="C2" s="294" t="s">
        <v>663</v>
      </c>
    </row>
    <row r="3" spans="1:3" x14ac:dyDescent="0.35">
      <c r="A3" s="292" t="s">
        <v>110</v>
      </c>
      <c r="B3" s="295" t="s">
        <v>664</v>
      </c>
      <c r="C3" s="294" t="s">
        <v>665</v>
      </c>
    </row>
    <row r="4" spans="1:3" ht="29" x14ac:dyDescent="0.35">
      <c r="A4" s="292" t="s">
        <v>141</v>
      </c>
      <c r="B4" s="293" t="s">
        <v>662</v>
      </c>
      <c r="C4" s="294" t="s">
        <v>666</v>
      </c>
    </row>
    <row r="5" spans="1:3" ht="58" x14ac:dyDescent="0.35">
      <c r="A5" s="292" t="s">
        <v>667</v>
      </c>
      <c r="B5" s="293" t="s">
        <v>662</v>
      </c>
      <c r="C5" s="294" t="s">
        <v>668</v>
      </c>
    </row>
    <row r="6" spans="1:3" ht="29" x14ac:dyDescent="0.35">
      <c r="A6" s="293" t="s">
        <v>669</v>
      </c>
      <c r="B6" s="293" t="s">
        <v>664</v>
      </c>
      <c r="C6" s="294" t="s">
        <v>670</v>
      </c>
    </row>
    <row r="7" spans="1:3" x14ac:dyDescent="0.35">
      <c r="A7" s="293" t="s">
        <v>58</v>
      </c>
      <c r="B7" s="293" t="s">
        <v>622</v>
      </c>
      <c r="C7" s="294" t="s">
        <v>671</v>
      </c>
    </row>
    <row r="8" spans="1:3" x14ac:dyDescent="0.35">
      <c r="A8" s="296" t="s">
        <v>174</v>
      </c>
      <c r="B8" s="297" t="s">
        <v>662</v>
      </c>
      <c r="C8" s="296" t="s">
        <v>172</v>
      </c>
    </row>
    <row r="9" spans="1:3" x14ac:dyDescent="0.35">
      <c r="A9" s="296" t="s">
        <v>113</v>
      </c>
      <c r="B9" s="297" t="s">
        <v>662</v>
      </c>
      <c r="C9" s="296" t="s">
        <v>672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FF76-F95F-4C5E-8B93-E2DB1E458BCD}">
  <dimension ref="A1:B2"/>
  <sheetViews>
    <sheetView workbookViewId="0">
      <selection activeCell="B7" sqref="B7"/>
    </sheetView>
  </sheetViews>
  <sheetFormatPr defaultRowHeight="14.5" x14ac:dyDescent="0.35"/>
  <cols>
    <col min="1" max="1" width="38.26953125" customWidth="1"/>
    <col min="2" max="2" width="93.453125" customWidth="1"/>
  </cols>
  <sheetData>
    <row r="1" spans="1:2" x14ac:dyDescent="0.35">
      <c r="A1" s="288" t="s">
        <v>673</v>
      </c>
      <c r="B1" s="288" t="s">
        <v>674</v>
      </c>
    </row>
    <row r="2" spans="1:2" x14ac:dyDescent="0.35">
      <c r="A2" s="289" t="s">
        <v>675</v>
      </c>
      <c r="B2" s="290" t="s">
        <v>676</v>
      </c>
    </row>
  </sheetData>
  <hyperlinks>
    <hyperlink ref="B2" r:id="rId1" display="https://greendot365.sharepoint.com/sites/VendorComplianceTraining/Shared Documents/Forms/AllItems.aspx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2E19-086E-4F74-B9BC-568F99D7E83E}">
  <dimension ref="A1:E12"/>
  <sheetViews>
    <sheetView topLeftCell="A4" workbookViewId="0">
      <selection activeCell="D2" sqref="D2:D3"/>
    </sheetView>
  </sheetViews>
  <sheetFormatPr defaultRowHeight="14.5" x14ac:dyDescent="0.35"/>
  <cols>
    <col min="1" max="1" width="45" customWidth="1"/>
    <col min="2" max="2" width="28.1796875" customWidth="1"/>
    <col min="3" max="3" width="22.7265625" customWidth="1"/>
    <col min="4" max="4" width="23.90625" customWidth="1"/>
    <col min="5" max="5" width="31.26953125" customWidth="1"/>
  </cols>
  <sheetData>
    <row r="1" spans="1:5" ht="39" x14ac:dyDescent="0.35">
      <c r="A1" s="298" t="s">
        <v>677</v>
      </c>
      <c r="B1" s="299" t="s">
        <v>678</v>
      </c>
      <c r="C1" s="299" t="s">
        <v>679</v>
      </c>
      <c r="D1" s="299" t="s">
        <v>680</v>
      </c>
      <c r="E1" s="300" t="s">
        <v>681</v>
      </c>
    </row>
    <row r="2" spans="1:5" ht="247" customHeight="1" x14ac:dyDescent="0.35">
      <c r="A2" s="326" t="s">
        <v>198</v>
      </c>
      <c r="B2" s="328" t="s">
        <v>682</v>
      </c>
      <c r="C2" s="328">
        <v>2</v>
      </c>
      <c r="D2" s="330" t="s">
        <v>683</v>
      </c>
      <c r="E2" s="301" t="s">
        <v>684</v>
      </c>
    </row>
    <row r="3" spans="1:5" ht="26.5" x14ac:dyDescent="0.35">
      <c r="A3" s="327"/>
      <c r="B3" s="329"/>
      <c r="C3" s="329"/>
      <c r="D3" s="331"/>
      <c r="E3" s="302" t="s">
        <v>685</v>
      </c>
    </row>
    <row r="4" spans="1:5" ht="156.5" x14ac:dyDescent="0.35">
      <c r="A4" s="327"/>
      <c r="B4" s="303" t="s">
        <v>686</v>
      </c>
      <c r="C4" s="303">
        <v>2</v>
      </c>
      <c r="D4" s="304" t="s">
        <v>687</v>
      </c>
      <c r="E4" s="302" t="s">
        <v>688</v>
      </c>
    </row>
    <row r="5" spans="1:5" ht="39.5" x14ac:dyDescent="0.35">
      <c r="A5" s="327" t="s">
        <v>58</v>
      </c>
      <c r="B5" s="328" t="s">
        <v>261</v>
      </c>
      <c r="C5" s="328">
        <v>3</v>
      </c>
      <c r="D5" s="305" t="s">
        <v>689</v>
      </c>
      <c r="E5" s="302" t="s">
        <v>690</v>
      </c>
    </row>
    <row r="6" spans="1:5" ht="65.5" x14ac:dyDescent="0.35">
      <c r="A6" s="332"/>
      <c r="B6" s="329"/>
      <c r="C6" s="329"/>
      <c r="D6" s="306" t="s">
        <v>691</v>
      </c>
      <c r="E6" s="307" t="s">
        <v>692</v>
      </c>
    </row>
    <row r="7" spans="1:5" ht="52.5" x14ac:dyDescent="0.35">
      <c r="A7" s="326" t="s">
        <v>693</v>
      </c>
      <c r="B7" s="328" t="s">
        <v>96</v>
      </c>
      <c r="C7" s="328">
        <v>3</v>
      </c>
      <c r="D7" s="305" t="s">
        <v>694</v>
      </c>
      <c r="E7" s="301" t="s">
        <v>695</v>
      </c>
    </row>
    <row r="8" spans="1:5" ht="65.5" x14ac:dyDescent="0.35">
      <c r="A8" s="327"/>
      <c r="B8" s="335"/>
      <c r="C8" s="335"/>
      <c r="D8" s="308" t="s">
        <v>696</v>
      </c>
      <c r="E8" s="309" t="s">
        <v>697</v>
      </c>
    </row>
    <row r="9" spans="1:5" ht="39.5" x14ac:dyDescent="0.35">
      <c r="A9" s="332"/>
      <c r="B9" s="329"/>
      <c r="C9" s="329"/>
      <c r="D9" s="306" t="s">
        <v>698</v>
      </c>
      <c r="E9" s="310"/>
    </row>
    <row r="10" spans="1:5" ht="273" customHeight="1" x14ac:dyDescent="0.35">
      <c r="A10" s="326" t="s">
        <v>699</v>
      </c>
      <c r="B10" s="328" t="s">
        <v>87</v>
      </c>
      <c r="C10" s="328">
        <v>4</v>
      </c>
      <c r="D10" s="333" t="s">
        <v>700</v>
      </c>
      <c r="E10" s="301" t="s">
        <v>701</v>
      </c>
    </row>
    <row r="11" spans="1:5" ht="26.5" x14ac:dyDescent="0.35">
      <c r="A11" s="332"/>
      <c r="B11" s="329"/>
      <c r="C11" s="329"/>
      <c r="D11" s="334"/>
      <c r="E11" s="307" t="s">
        <v>702</v>
      </c>
    </row>
    <row r="12" spans="1:5" ht="65.5" x14ac:dyDescent="0.35">
      <c r="A12" s="311" t="s">
        <v>110</v>
      </c>
      <c r="B12" s="303" t="s">
        <v>59</v>
      </c>
      <c r="C12" s="303">
        <v>2</v>
      </c>
      <c r="D12" s="304" t="s">
        <v>703</v>
      </c>
      <c r="E12" s="312" t="s">
        <v>704</v>
      </c>
    </row>
  </sheetData>
  <mergeCells count="14">
    <mergeCell ref="D10:D11"/>
    <mergeCell ref="A7:A9"/>
    <mergeCell ref="B7:B9"/>
    <mergeCell ref="C7:C9"/>
    <mergeCell ref="A10:A11"/>
    <mergeCell ref="B10:B11"/>
    <mergeCell ref="C10:C11"/>
    <mergeCell ref="A2:A4"/>
    <mergeCell ref="B2:B3"/>
    <mergeCell ref="C2:C3"/>
    <mergeCell ref="D2:D3"/>
    <mergeCell ref="A5:A6"/>
    <mergeCell ref="B5:B6"/>
    <mergeCell ref="C5:C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5192-C34A-495C-A7B0-DEEF8F0CAAC4}">
  <dimension ref="A1:B3"/>
  <sheetViews>
    <sheetView workbookViewId="0">
      <selection activeCell="B9" sqref="B9"/>
    </sheetView>
  </sheetViews>
  <sheetFormatPr defaultRowHeight="14.5" x14ac:dyDescent="0.35"/>
  <cols>
    <col min="1" max="1" width="31.1796875" customWidth="1"/>
    <col min="2" max="2" width="62.54296875" customWidth="1"/>
  </cols>
  <sheetData>
    <row r="1" spans="1:2" x14ac:dyDescent="0.35">
      <c r="A1" s="275" t="s">
        <v>705</v>
      </c>
      <c r="B1" s="276" t="s">
        <v>674</v>
      </c>
    </row>
    <row r="2" spans="1:2" x14ac:dyDescent="0.35">
      <c r="A2" s="71" t="s">
        <v>706</v>
      </c>
      <c r="B2" s="101" t="s">
        <v>707</v>
      </c>
    </row>
    <row r="3" spans="1:2" x14ac:dyDescent="0.35">
      <c r="A3" s="71" t="s">
        <v>708</v>
      </c>
      <c r="B3" s="101" t="s">
        <v>709</v>
      </c>
    </row>
  </sheetData>
  <hyperlinks>
    <hyperlink ref="B2" r:id="rId1" display="https://becurious.edcast.eu/pathways/green-dot-devops-profile-training" xr:uid="{00000000-0004-0000-0F00-000000000000}"/>
    <hyperlink ref="B3" r:id="rId2" xr:uid="{00000000-0004-0000-0F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862D-5712-4AE6-83ED-C63161B268A9}">
  <dimension ref="A1:E6"/>
  <sheetViews>
    <sheetView workbookViewId="0">
      <selection activeCell="B8" sqref="B8"/>
    </sheetView>
  </sheetViews>
  <sheetFormatPr defaultRowHeight="14.5" x14ac:dyDescent="0.35"/>
  <cols>
    <col min="1" max="1" width="28.26953125" customWidth="1"/>
    <col min="2" max="2" width="38.6328125" customWidth="1"/>
    <col min="3" max="3" width="53.453125" customWidth="1"/>
  </cols>
  <sheetData>
    <row r="1" spans="1:5" x14ac:dyDescent="0.35">
      <c r="A1" s="77" t="s">
        <v>710</v>
      </c>
      <c r="B1" s="77" t="s">
        <v>711</v>
      </c>
      <c r="C1" s="77" t="s">
        <v>712</v>
      </c>
      <c r="D1" s="77" t="s">
        <v>713</v>
      </c>
      <c r="E1" s="77" t="s">
        <v>714</v>
      </c>
    </row>
    <row r="2" spans="1:5" x14ac:dyDescent="0.35">
      <c r="A2" t="s">
        <v>715</v>
      </c>
      <c r="B2" t="s">
        <v>716</v>
      </c>
      <c r="C2" s="2" t="s">
        <v>717</v>
      </c>
      <c r="D2" t="s">
        <v>718</v>
      </c>
      <c r="E2" t="s">
        <v>719</v>
      </c>
    </row>
    <row r="3" spans="1:5" x14ac:dyDescent="0.35">
      <c r="A3" t="s">
        <v>715</v>
      </c>
      <c r="B3" t="s">
        <v>720</v>
      </c>
      <c r="C3" s="2" t="s">
        <v>721</v>
      </c>
      <c r="D3" t="s">
        <v>722</v>
      </c>
      <c r="E3" t="s">
        <v>723</v>
      </c>
    </row>
    <row r="4" spans="1:5" x14ac:dyDescent="0.35">
      <c r="A4" t="s">
        <v>724</v>
      </c>
      <c r="B4" t="s">
        <v>725</v>
      </c>
      <c r="C4" s="2" t="s">
        <v>726</v>
      </c>
      <c r="D4" t="s">
        <v>718</v>
      </c>
      <c r="E4" t="s">
        <v>719</v>
      </c>
    </row>
    <row r="5" spans="1:5" x14ac:dyDescent="0.35">
      <c r="A5" t="s">
        <v>724</v>
      </c>
      <c r="B5" t="s">
        <v>727</v>
      </c>
      <c r="C5" s="2" t="s">
        <v>728</v>
      </c>
      <c r="D5" t="s">
        <v>729</v>
      </c>
      <c r="E5" t="s">
        <v>723</v>
      </c>
    </row>
    <row r="6" spans="1:5" x14ac:dyDescent="0.35">
      <c r="A6" t="s">
        <v>724</v>
      </c>
      <c r="B6" t="s">
        <v>730</v>
      </c>
      <c r="C6" s="2" t="s">
        <v>731</v>
      </c>
      <c r="D6" t="s">
        <v>732</v>
      </c>
      <c r="E6" t="s">
        <v>723</v>
      </c>
    </row>
  </sheetData>
  <hyperlinks>
    <hyperlink ref="C2" r:id="rId1" xr:uid="{00000000-0004-0000-1000-000000000000}"/>
    <hyperlink ref="C3" r:id="rId2" xr:uid="{00000000-0004-0000-1000-000001000000}"/>
    <hyperlink ref="C4" r:id="rId3" xr:uid="{00000000-0004-0000-1000-000002000000}"/>
    <hyperlink ref="C5" r:id="rId4" xr:uid="{00000000-0004-0000-1000-000003000000}"/>
    <hyperlink ref="C6" r:id="rId5" xr:uid="{00000000-0004-0000-1000-000004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8CC6-1BED-4C07-AC9C-580CEB897429}">
  <dimension ref="A1:E3"/>
  <sheetViews>
    <sheetView topLeftCell="A2" workbookViewId="0">
      <selection activeCell="B2" sqref="B2"/>
    </sheetView>
  </sheetViews>
  <sheetFormatPr defaultRowHeight="14.5" x14ac:dyDescent="0.35"/>
  <cols>
    <col min="1" max="1" width="45.90625" customWidth="1"/>
    <col min="2" max="2" width="36.08984375" customWidth="1"/>
    <col min="3" max="3" width="27.6328125" customWidth="1"/>
    <col min="4" max="4" width="18.36328125" customWidth="1"/>
    <col min="5" max="5" width="18.26953125" customWidth="1"/>
  </cols>
  <sheetData>
    <row r="1" spans="1:5" x14ac:dyDescent="0.35">
      <c r="A1" s="77" t="s">
        <v>710</v>
      </c>
      <c r="B1" s="77" t="s">
        <v>711</v>
      </c>
      <c r="C1" s="77" t="s">
        <v>712</v>
      </c>
      <c r="D1" s="77" t="s">
        <v>713</v>
      </c>
      <c r="E1" s="77" t="s">
        <v>714</v>
      </c>
    </row>
    <row r="2" spans="1:5" ht="101.5" x14ac:dyDescent="0.35">
      <c r="A2" t="s">
        <v>715</v>
      </c>
      <c r="B2" t="s">
        <v>733</v>
      </c>
      <c r="C2" s="277" t="s">
        <v>734</v>
      </c>
      <c r="D2" t="s">
        <v>735</v>
      </c>
      <c r="E2" t="s">
        <v>736</v>
      </c>
    </row>
    <row r="3" spans="1:5" x14ac:dyDescent="0.35">
      <c r="A3" t="s">
        <v>737</v>
      </c>
      <c r="B3" t="s">
        <v>515</v>
      </c>
      <c r="C3" s="2" t="s">
        <v>738</v>
      </c>
      <c r="D3" t="s">
        <v>729</v>
      </c>
      <c r="E3" t="s">
        <v>736</v>
      </c>
    </row>
  </sheetData>
  <hyperlinks>
    <hyperlink ref="C2" r:id="rId1" location="overview" xr:uid="{00000000-0004-0000-1100-000000000000}"/>
    <hyperlink ref="C3" r:id="rId2" xr:uid="{00000000-0004-0000-1100-000001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1FA0-AF8F-461D-8E6D-E7E3198A7B5C}">
  <dimension ref="A1:E6"/>
  <sheetViews>
    <sheetView workbookViewId="0">
      <selection activeCell="C10" sqref="C10"/>
    </sheetView>
  </sheetViews>
  <sheetFormatPr defaultRowHeight="14.5" x14ac:dyDescent="0.35"/>
  <sheetData>
    <row r="1" spans="1:5" x14ac:dyDescent="0.35">
      <c r="A1" s="77" t="s">
        <v>710</v>
      </c>
      <c r="B1" s="77" t="s">
        <v>711</v>
      </c>
      <c r="C1" s="77" t="s">
        <v>712</v>
      </c>
      <c r="D1" s="77" t="s">
        <v>713</v>
      </c>
      <c r="E1" s="77" t="s">
        <v>714</v>
      </c>
    </row>
    <row r="2" spans="1:5" x14ac:dyDescent="0.35">
      <c r="A2" t="s">
        <v>737</v>
      </c>
      <c r="C2" s="278" t="s">
        <v>739</v>
      </c>
    </row>
    <row r="3" spans="1:5" x14ac:dyDescent="0.35">
      <c r="A3" t="s">
        <v>737</v>
      </c>
      <c r="B3" t="s">
        <v>516</v>
      </c>
      <c r="C3" s="278" t="s">
        <v>740</v>
      </c>
    </row>
    <row r="4" spans="1:5" x14ac:dyDescent="0.35">
      <c r="A4" t="s">
        <v>737</v>
      </c>
      <c r="C4" s="278" t="s">
        <v>741</v>
      </c>
    </row>
    <row r="5" spans="1:5" x14ac:dyDescent="0.35">
      <c r="A5" t="s">
        <v>742</v>
      </c>
      <c r="C5" s="278" t="s">
        <v>743</v>
      </c>
    </row>
    <row r="6" spans="1:5" x14ac:dyDescent="0.35">
      <c r="A6" t="s">
        <v>742</v>
      </c>
      <c r="C6" s="278" t="s">
        <v>744</v>
      </c>
    </row>
  </sheetData>
  <hyperlinks>
    <hyperlink ref="C2" r:id="rId1" xr:uid="{00000000-0004-0000-1200-000000000000}"/>
    <hyperlink ref="C3" r:id="rId2" tooltip="https://nam10.safelinks.protection.outlook.com/?url=https%3a%2f%2fwww.youtube.com%2fwatch%3fv%3dlbefktukbqc&amp;data=05%7c02%7ckmullangi%40deloitte.com%7c53f0e13896974c47579708de528e1455%7c36da45f1dd2c4d1faf135abe46b99921%7c0%7c0%7c639038967334584233%7cunknow" xr:uid="{00000000-0004-0000-1200-000001000000}"/>
    <hyperlink ref="C4" r:id="rId3" tooltip="https://nam10.safelinks.protection.outlook.com/?url=https%3a%2f%2fwww.youtube.com%2fwatch%3fv%3dhnvr2k5d2nw&amp;data=05%7c02%7ckmullangi%40deloitte.com%7c53f0e13896974c47579708de528e1455%7c36da45f1dd2c4d1faf135abe46b99921%7c0%7c0%7c639038967334607937%7cunknow" xr:uid="{00000000-0004-0000-1200-000002000000}"/>
    <hyperlink ref="C5" r:id="rId4" tooltip="https://nam10.safelinks.protection.outlook.com/?url=https%3a%2f%2fwww.atlassian.com%2fsoftware%2frovo%2fguides%2fend-user-guide%2fhow-to-use-rovo&amp;data=05%7c02%7ckmullangi%40deloitte.com%7c53f0e13896974c47579708de528e1455%7c36da45f1dd2c4d1faf135abe46b99921" xr:uid="{00000000-0004-0000-1200-000003000000}"/>
    <hyperlink ref="C6" r:id="rId5" location="autom…" tooltip="https://nam10.safelinks.protection.outlook.com/?url=https%3a%2f%2fwww.atlassian.com%2fsoftware%2fconfluence%2fresources%2fguides%2fbest-practices%2fconfluence-rovo%23automation-and-ai-in-confluence&amp;data=05%7c02%7ckmullangi%40deloitte.com%7c53f0e13896974c4" xr:uid="{00000000-0004-0000-1200-000004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F096-9148-4CE6-9226-E90C4101985A}">
  <dimension ref="A1:E7"/>
  <sheetViews>
    <sheetView workbookViewId="0">
      <selection activeCell="E2" sqref="E2"/>
    </sheetView>
  </sheetViews>
  <sheetFormatPr defaultRowHeight="14.5" x14ac:dyDescent="0.35"/>
  <cols>
    <col min="1" max="1" width="43.1796875" customWidth="1"/>
    <col min="2" max="2" width="36.26953125" customWidth="1"/>
    <col min="3" max="3" width="33.81640625" customWidth="1"/>
  </cols>
  <sheetData>
    <row r="1" spans="1:5" x14ac:dyDescent="0.35">
      <c r="A1" s="77" t="s">
        <v>710</v>
      </c>
      <c r="B1" s="77" t="s">
        <v>711</v>
      </c>
      <c r="C1" s="77" t="s">
        <v>712</v>
      </c>
      <c r="D1" s="77" t="s">
        <v>713</v>
      </c>
      <c r="E1" s="77" t="s">
        <v>714</v>
      </c>
    </row>
    <row r="2" spans="1:5" ht="43.5" x14ac:dyDescent="0.35">
      <c r="A2" s="336" t="s">
        <v>715</v>
      </c>
      <c r="B2" s="173" t="s">
        <v>745</v>
      </c>
      <c r="C2" s="277" t="s">
        <v>746</v>
      </c>
      <c r="D2" t="s">
        <v>722</v>
      </c>
      <c r="E2" t="s">
        <v>719</v>
      </c>
    </row>
    <row r="3" spans="1:5" ht="29" x14ac:dyDescent="0.35">
      <c r="A3" s="336"/>
      <c r="B3" s="173" t="s">
        <v>747</v>
      </c>
      <c r="C3" s="2" t="s">
        <v>748</v>
      </c>
      <c r="D3" t="s">
        <v>749</v>
      </c>
      <c r="E3" t="s">
        <v>719</v>
      </c>
    </row>
    <row r="5" spans="1:5" x14ac:dyDescent="0.35">
      <c r="A5" t="s">
        <v>750</v>
      </c>
      <c r="B5" t="s">
        <v>751</v>
      </c>
      <c r="C5" s="2" t="s">
        <v>752</v>
      </c>
      <c r="D5" t="s">
        <v>735</v>
      </c>
      <c r="E5" t="s">
        <v>719</v>
      </c>
    </row>
    <row r="6" spans="1:5" x14ac:dyDescent="0.35">
      <c r="C6" s="2"/>
    </row>
    <row r="7" spans="1:5" x14ac:dyDescent="0.35">
      <c r="A7" t="s">
        <v>753</v>
      </c>
      <c r="B7" t="s">
        <v>754</v>
      </c>
      <c r="C7" s="2" t="s">
        <v>755</v>
      </c>
      <c r="D7" t="s">
        <v>756</v>
      </c>
      <c r="E7" t="s">
        <v>719</v>
      </c>
    </row>
  </sheetData>
  <mergeCells count="1">
    <mergeCell ref="A2:A3"/>
  </mergeCells>
  <hyperlinks>
    <hyperlink ref="C2" r:id="rId1" xr:uid="{00000000-0004-0000-1300-000000000000}"/>
    <hyperlink ref="C3" r:id="rId2" xr:uid="{00000000-0004-0000-1300-000001000000}"/>
    <hyperlink ref="C5" r:id="rId3" xr:uid="{00000000-0004-0000-1300-000002000000}"/>
    <hyperlink ref="C7" r:id="rId4" xr:uid="{00000000-0004-0000-1300-000003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D6CD-2B17-4824-96E8-91B45A459196}">
  <dimension ref="A1:B12"/>
  <sheetViews>
    <sheetView workbookViewId="0">
      <selection sqref="A1:B12"/>
    </sheetView>
  </sheetViews>
  <sheetFormatPr defaultRowHeight="14.5" x14ac:dyDescent="0.35"/>
  <cols>
    <col min="1" max="1" width="41.1796875" customWidth="1"/>
    <col min="2" max="2" width="77.7265625" customWidth="1"/>
  </cols>
  <sheetData>
    <row r="1" spans="1:2" x14ac:dyDescent="0.35">
      <c r="A1" s="275" t="s">
        <v>673</v>
      </c>
      <c r="B1" s="77" t="s">
        <v>674</v>
      </c>
    </row>
    <row r="2" spans="1:2" x14ac:dyDescent="0.35">
      <c r="A2" s="279" t="s">
        <v>757</v>
      </c>
      <c r="B2" s="280" t="s">
        <v>758</v>
      </c>
    </row>
    <row r="3" spans="1:2" ht="43.5" x14ac:dyDescent="0.35">
      <c r="A3" s="281" t="s">
        <v>759</v>
      </c>
      <c r="B3" s="282" t="s">
        <v>760</v>
      </c>
    </row>
    <row r="4" spans="1:2" ht="43.5" x14ac:dyDescent="0.35">
      <c r="A4" s="281" t="s">
        <v>761</v>
      </c>
      <c r="B4" s="282" t="s">
        <v>762</v>
      </c>
    </row>
    <row r="5" spans="1:2" ht="101.5" x14ac:dyDescent="0.35">
      <c r="A5" s="281" t="s">
        <v>763</v>
      </c>
      <c r="B5" s="283" t="s">
        <v>764</v>
      </c>
    </row>
    <row r="6" spans="1:2" ht="29" x14ac:dyDescent="0.35">
      <c r="A6" s="281" t="s">
        <v>765</v>
      </c>
      <c r="B6" s="282" t="s">
        <v>766</v>
      </c>
    </row>
    <row r="7" spans="1:2" x14ac:dyDescent="0.35">
      <c r="A7" s="279" t="s">
        <v>767</v>
      </c>
      <c r="B7" s="280" t="s">
        <v>768</v>
      </c>
    </row>
    <row r="8" spans="1:2" x14ac:dyDescent="0.35">
      <c r="A8" s="279" t="s">
        <v>769</v>
      </c>
      <c r="B8" s="280" t="s">
        <v>770</v>
      </c>
    </row>
    <row r="9" spans="1:2" ht="72.5" x14ac:dyDescent="0.35">
      <c r="A9" s="281" t="s">
        <v>771</v>
      </c>
      <c r="B9" s="282" t="s">
        <v>772</v>
      </c>
    </row>
    <row r="10" spans="1:2" x14ac:dyDescent="0.35">
      <c r="A10" s="279" t="s">
        <v>773</v>
      </c>
      <c r="B10" s="280" t="s">
        <v>774</v>
      </c>
    </row>
    <row r="11" spans="1:2" x14ac:dyDescent="0.35">
      <c r="A11" s="284" t="s">
        <v>775</v>
      </c>
      <c r="B11" s="280" t="s">
        <v>776</v>
      </c>
    </row>
    <row r="12" spans="1:2" ht="58" x14ac:dyDescent="0.35">
      <c r="A12" s="285" t="s">
        <v>777</v>
      </c>
      <c r="B12" s="282" t="s">
        <v>778</v>
      </c>
    </row>
  </sheetData>
  <hyperlinks>
    <hyperlink ref="B2" r:id="rId1" xr:uid="{00000000-0004-0000-1400-000000000000}"/>
    <hyperlink ref="B3" r:id="rId2" tooltip="https://becurious.edcast.eu/pathways/green-dot-dot-net-profile-training/cards/110221459" xr:uid="{00000000-0004-0000-1400-000001000000}"/>
    <hyperlink ref="B4" r:id="rId3" tooltip="https://becurious.edcast.eu/pathways/green-dot-dot-net-profile-training/cards/100834837" xr:uid="{00000000-0004-0000-1400-000002000000}"/>
    <hyperlink ref="B5" r:id="rId4" xr:uid="{00000000-0004-0000-1400-000003000000}"/>
    <hyperlink ref="B6" r:id="rId5" tooltip="https://becurious.edcast.eu/pathways/green-dot-dot-net-profile-training/cards/110314377" xr:uid="{00000000-0004-0000-1400-000004000000}"/>
    <hyperlink ref="B7" r:id="rId6" tooltip="https://becurious.edcast.eu/pathways/green-dot-dot-net-profile-training/cards/108778855" xr:uid="{00000000-0004-0000-1400-000005000000}"/>
    <hyperlink ref="B8" r:id="rId7" tooltip="https://becurious.edcast.eu/pathways/green-dot-dot-net-profile-training/cards/100527044" xr:uid="{00000000-0004-0000-1400-000006000000}"/>
    <hyperlink ref="B9" r:id="rId8" tooltip="https://becurious.edcast.eu/pathways/green-dot-dot-net-profile-training/cards/100764263" xr:uid="{00000000-0004-0000-1400-000007000000}"/>
    <hyperlink ref="B10" r:id="rId9" tooltip="https://becurious.edcast.eu/pathways/green-dot-dot-net-profile-training/cards/101256005" xr:uid="{00000000-0004-0000-1400-000008000000}"/>
    <hyperlink ref="B11" r:id="rId10" display="https://secure-web.cisco.com/1tvyNBxX3ndiQ5w6U35qtGmNindmwLdjQ9DVBuD5KL_1y2XN6on5qJVqSpbgS8xDmmnv0dmmZz0mhBoPa2E_zcjKTj25VXZ_-eRZKm39pQw6zg2QwuQMJdhhTTvKC90CEqT6dHXTF7HRXQgeFrcpS7uxvGh-NrlFnbjtI-38q9A_zOHEKPkoBtGsVjehAbYc83dzt1xNM5hW9YnnwpxRmypm4oj-5xJip156IgbnCA6Y1RZkv7gnsqgZwpYE1b3-CHke-AhKhfzQtwKiLCDW-EYEam7oJ8PUj80pjFq2_ZvoaIvQXxCCNUsXkjIBcvcVto5BCDCFQ2irHwPb9RXNbTNct5BFz0tuw_1OvjhUmhMeyJBr7mxT4k7wfHcq197LeZZGn-8BCyEevjUoOo2pmOiOCmm0Y_oYuAUFmdmrVEB2nZSeOTZsSMUbPTBA9Yrs94BKdUDzIf9kplTnJxh0CM3Q41pMlod_uyXkG_aLLzl2-q-XpUukXH-TgaFEncXM1/https%3A%2F%2Fbecurious.edcast.eu%2Finsights%2FECL-62a9fb5a-bfa5-48c8-b554-9a827d075124" xr:uid="{00000000-0004-0000-1400-000009000000}"/>
    <hyperlink ref="B12" r:id="rId11" xr:uid="{00000000-0004-0000-1400-00000A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515E-8BB4-4F9A-B29E-D83D2D4C09CF}">
  <dimension ref="A1:B3"/>
  <sheetViews>
    <sheetView workbookViewId="0">
      <selection activeCell="B2" sqref="B2"/>
    </sheetView>
  </sheetViews>
  <sheetFormatPr defaultRowHeight="14.5" x14ac:dyDescent="0.35"/>
  <cols>
    <col min="1" max="1" width="29.81640625" customWidth="1"/>
    <col min="2" max="2" width="37.81640625" customWidth="1"/>
  </cols>
  <sheetData>
    <row r="1" spans="1:2" x14ac:dyDescent="0.35">
      <c r="A1" s="67" t="s">
        <v>674</v>
      </c>
      <c r="B1" s="67" t="s">
        <v>779</v>
      </c>
    </row>
    <row r="2" spans="1:2" ht="43.5" x14ac:dyDescent="0.35">
      <c r="A2" s="286" t="s">
        <v>746</v>
      </c>
      <c r="B2" s="6" t="s">
        <v>780</v>
      </c>
    </row>
    <row r="3" spans="1:2" ht="43.5" x14ac:dyDescent="0.35">
      <c r="A3" s="286" t="s">
        <v>781</v>
      </c>
      <c r="B3" s="6" t="s">
        <v>782</v>
      </c>
    </row>
  </sheetData>
  <hyperlinks>
    <hyperlink ref="A2" r:id="rId1" xr:uid="{00000000-0004-0000-1500-000000000000}"/>
    <hyperlink ref="A3" r:id="rId2" xr:uid="{00000000-0004-0000-1500-000001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6A03-FD43-4410-91F6-C4A6208CAD65}">
  <dimension ref="A1:B9"/>
  <sheetViews>
    <sheetView workbookViewId="0">
      <selection activeCell="B13" sqref="B13"/>
    </sheetView>
  </sheetViews>
  <sheetFormatPr defaultRowHeight="14.5" x14ac:dyDescent="0.35"/>
  <cols>
    <col min="1" max="1" width="39" customWidth="1"/>
    <col min="2" max="2" width="48.7265625" customWidth="1"/>
  </cols>
  <sheetData>
    <row r="1" spans="1:2" x14ac:dyDescent="0.35">
      <c r="A1" s="77" t="s">
        <v>674</v>
      </c>
      <c r="B1" t="s">
        <v>714</v>
      </c>
    </row>
    <row r="3" spans="1:2" x14ac:dyDescent="0.35">
      <c r="A3" s="2" t="s">
        <v>783</v>
      </c>
      <c r="B3" t="s">
        <v>784</v>
      </c>
    </row>
    <row r="5" spans="1:2" x14ac:dyDescent="0.35">
      <c r="A5" s="2" t="s">
        <v>785</v>
      </c>
      <c r="B5" t="s">
        <v>786</v>
      </c>
    </row>
    <row r="7" spans="1:2" x14ac:dyDescent="0.35">
      <c r="A7" s="2" t="s">
        <v>787</v>
      </c>
      <c r="B7" t="s">
        <v>788</v>
      </c>
    </row>
    <row r="8" spans="1:2" x14ac:dyDescent="0.35">
      <c r="A8" s="2" t="s">
        <v>789</v>
      </c>
      <c r="B8" t="s">
        <v>790</v>
      </c>
    </row>
    <row r="9" spans="1:2" x14ac:dyDescent="0.35">
      <c r="A9" s="2" t="s">
        <v>791</v>
      </c>
      <c r="B9" t="s">
        <v>792</v>
      </c>
    </row>
  </sheetData>
  <hyperlinks>
    <hyperlink ref="A3" r:id="rId1" xr:uid="{00000000-0004-0000-1600-000000000000}"/>
    <hyperlink ref="A5" r:id="rId2" xr:uid="{00000000-0004-0000-1600-000001000000}"/>
    <hyperlink ref="A7" r:id="rId3" xr:uid="{00000000-0004-0000-1600-000002000000}"/>
    <hyperlink ref="A8" r:id="rId4" xr:uid="{00000000-0004-0000-1600-000003000000}"/>
    <hyperlink ref="A9" r:id="rId5" xr:uid="{00000000-0004-0000-1600-000004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5937-0BF5-4B44-8B01-301DC38505C7}">
  <dimension ref="A1:B4"/>
  <sheetViews>
    <sheetView workbookViewId="0">
      <selection activeCell="B11" sqref="B11"/>
    </sheetView>
  </sheetViews>
  <sheetFormatPr defaultRowHeight="14.5" x14ac:dyDescent="0.35"/>
  <cols>
    <col min="1" max="1" width="30.6328125" customWidth="1"/>
    <col min="2" max="2" width="42.26953125" customWidth="1"/>
  </cols>
  <sheetData>
    <row r="1" spans="1:2" x14ac:dyDescent="0.35">
      <c r="A1" s="287" t="s">
        <v>673</v>
      </c>
      <c r="B1" s="276" t="s">
        <v>674</v>
      </c>
    </row>
    <row r="2" spans="1:2" x14ac:dyDescent="0.35">
      <c r="A2" s="114" t="s">
        <v>793</v>
      </c>
      <c r="B2" s="101" t="s">
        <v>794</v>
      </c>
    </row>
    <row r="3" spans="1:2" x14ac:dyDescent="0.35">
      <c r="A3" s="71" t="s">
        <v>795</v>
      </c>
      <c r="B3" s="101" t="s">
        <v>796</v>
      </c>
    </row>
    <row r="4" spans="1:2" x14ac:dyDescent="0.35">
      <c r="A4" s="71" t="s">
        <v>797</v>
      </c>
      <c r="B4" s="101" t="s">
        <v>798</v>
      </c>
    </row>
  </sheetData>
  <hyperlinks>
    <hyperlink ref="B2" r:id="rId1" display="https://becurious.edcast.eu/pathways/amazon-redshift-training-pathway" xr:uid="{00000000-0004-0000-1700-000000000000}"/>
    <hyperlink ref="B3" r:id="rId2" display="https://becurious.edcast.eu/pathways/azure-sql-this" xr:uid="{00000000-0004-0000-1700-000001000000}"/>
    <hyperlink ref="B4" r:id="rId3" location="overview" display="IICS Complated Guide" xr:uid="{00000000-0004-0000-1700-000002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TeamMember</vt:lpstr>
      <vt:lpstr>Users</vt:lpstr>
      <vt:lpstr>OnboardingSteps</vt:lpstr>
      <vt:lpstr>OnboardingProgress</vt:lpstr>
      <vt:lpstr>Offboarding</vt:lpstr>
      <vt:lpstr>Training Status</vt:lpstr>
      <vt:lpstr>Projects</vt:lpstr>
      <vt:lpstr>PRSD</vt:lpstr>
      <vt:lpstr>Training Count</vt:lpstr>
      <vt:lpstr>Full Team Demography</vt:lpstr>
      <vt:lpstr>FTEs Data</vt:lpstr>
      <vt:lpstr>Active-Inactive TMs</vt:lpstr>
      <vt:lpstr>Madatory Trainings</vt:lpstr>
      <vt:lpstr>ComplianceTrainingLinks</vt:lpstr>
      <vt:lpstr>GDLead</vt:lpstr>
      <vt:lpstr>RESRE</vt:lpstr>
      <vt:lpstr>Copilot</vt:lpstr>
      <vt:lpstr>AKS</vt:lpstr>
      <vt:lpstr>ROVO</vt:lpstr>
      <vt:lpstr>DataDog</vt:lpstr>
      <vt:lpstr>.Net</vt:lpstr>
      <vt:lpstr>CRM</vt:lpstr>
      <vt:lpstr>iOS</vt:lpstr>
      <vt:lpstr>ETL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TeamTracker</dc:creator>
  <cp:keywords>EPPlus noncommercial use</cp:keywords>
  <dc:description>This workbook has been created with EPPlus licensed to TeamTracker under The Polyform Noncommercial License: See https://polyformproject.org/licenses/noncommercial/1.0.0</dc:description>
  <cp:lastModifiedBy>Kulkarni, Rohan</cp:lastModifiedBy>
  <dcterms:created xsi:type="dcterms:W3CDTF">2026-08-15T16:39:37Z</dcterms:created>
  <dcterms:modified xsi:type="dcterms:W3CDTF">2026-09-09T16:29:11Z</dcterms:modified>
</cp:coreProperties>
</file>